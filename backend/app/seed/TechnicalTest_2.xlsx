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Vishaal\Downloads\"/>
    </mc:Choice>
  </mc:AlternateContent>
  <xr:revisionPtr revIDLastSave="0" documentId="13_ncr:1_{A234D0F9-FBC2-4B69-9D7D-D19679287FC3}" xr6:coauthVersionLast="47" xr6:coauthVersionMax="47" xr10:uidLastSave="{00000000-0000-0000-0000-000000000000}"/>
  <bookViews>
    <workbookView xWindow="-28920" yWindow="-120" windowWidth="29040" windowHeight="15840" tabRatio="664" xr2:uid="{00000000-000D-0000-FFFF-FFFF00000000}"/>
  </bookViews>
  <sheets>
    <sheet name="Instructions" sheetId="7" r:id="rId1"/>
    <sheet name="Stage-Designation Master" sheetId="2" r:id="rId2"/>
    <sheet name="Employee Master (Sample)" sheetId="3" r:id="rId3"/>
    <sheet name="Project Master (Sample)" sheetId="4" r:id="rId4"/>
    <sheet name="Calendar Rules" sheetId="5" r:id="rId5"/>
    <sheet name="Expected Output" sheetId="6" r:id="rId6"/>
  </sheets>
  <definedNames>
    <definedName name="_xlnm._FilterDatabase" localSheetId="2" hidden="1">'Employee Master (Sample)'!$A$1:$K$54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5" i="6" l="1"/>
  <c r="G9" i="4"/>
  <c r="H9" i="4"/>
  <c r="L9" i="4"/>
  <c r="D25" i="6"/>
  <c r="C49" i="6" s="1"/>
  <c r="D11" i="6"/>
  <c r="C44" i="6" s="1"/>
  <c r="D9" i="6"/>
  <c r="J9" i="4" s="1"/>
  <c r="D6" i="6"/>
  <c r="I9" i="4" s="1"/>
  <c r="D23" i="6"/>
  <c r="C48" i="6" s="1"/>
  <c r="D20" i="6"/>
  <c r="C47" i="6" s="1"/>
  <c r="D15" i="6"/>
  <c r="C46" i="6" s="1"/>
  <c r="M9" i="4" l="1"/>
  <c r="O9" i="4"/>
  <c r="K9" i="4"/>
  <c r="P9" i="4"/>
  <c r="N9" i="4"/>
  <c r="C43" i="6"/>
  <c r="C42" i="6"/>
</calcChain>
</file>

<file path=xl/sharedStrings.xml><?xml version="1.0" encoding="utf-8"?>
<sst xmlns="http://schemas.openxmlformats.org/spreadsheetml/2006/main" count="1066" uniqueCount="383">
  <si>
    <t>Stage No.</t>
  </si>
  <si>
    <t>Production Stage</t>
  </si>
  <si>
    <t>Designation / Role</t>
  </si>
  <si>
    <t>Category</t>
  </si>
  <si>
    <t>Work Days</t>
  </si>
  <si>
    <t>Weekly Off</t>
  </si>
  <si>
    <t>Standard Shift (Hrs)</t>
  </si>
  <si>
    <t>Overtime Applicable</t>
  </si>
  <si>
    <t>Design</t>
  </si>
  <si>
    <t>Design Manager</t>
  </si>
  <si>
    <t>White Collar</t>
  </si>
  <si>
    <t>Mon–Fri</t>
  </si>
  <si>
    <t>Sat, Sun</t>
  </si>
  <si>
    <t>No</t>
  </si>
  <si>
    <t>Design Engineer</t>
  </si>
  <si>
    <t>CAD Draftsman</t>
  </si>
  <si>
    <t>Planning</t>
  </si>
  <si>
    <t>Planning Manager</t>
  </si>
  <si>
    <t>Project Planner / Scheduler</t>
  </si>
  <si>
    <t>Procurement</t>
  </si>
  <si>
    <t>Procurement Manager</t>
  </si>
  <si>
    <t>Procurement Officer</t>
  </si>
  <si>
    <t>Sourcing</t>
  </si>
  <si>
    <t>Sourcing Manager</t>
  </si>
  <si>
    <t>Vendor Development Executive</t>
  </si>
  <si>
    <t>Manufacturing</t>
  </si>
  <si>
    <t>Production Supervisor</t>
  </si>
  <si>
    <t>Blue Collar</t>
  </si>
  <si>
    <t>Mon–Sat</t>
  </si>
  <si>
    <t>Sun</t>
  </si>
  <si>
    <t>Yes</t>
  </si>
  <si>
    <t>Carpenter</t>
  </si>
  <si>
    <t>Machine Operator (CNC/Edge Band)</t>
  </si>
  <si>
    <t>Welder / Fabricator</t>
  </si>
  <si>
    <t>Finishing / Polishing Technician</t>
  </si>
  <si>
    <t>Helper / Assistant</t>
  </si>
  <si>
    <t>Quality Control</t>
  </si>
  <si>
    <t>QA Engineer</t>
  </si>
  <si>
    <t>QC Inspector</t>
  </si>
  <si>
    <t>Packing</t>
  </si>
  <si>
    <t>Packing Supervisor</t>
  </si>
  <si>
    <t>Packing Helper</t>
  </si>
  <si>
    <t>Shipping</t>
  </si>
  <si>
    <t>Logistics Coordinator</t>
  </si>
  <si>
    <t>Dispatch Executive</t>
  </si>
  <si>
    <t>Driver</t>
  </si>
  <si>
    <t>Employee ID</t>
  </si>
  <si>
    <t>Employee Name</t>
  </si>
  <si>
    <t>Designation</t>
  </si>
  <si>
    <t>Stage</t>
  </si>
  <si>
    <t>OT Eligible</t>
  </si>
  <si>
    <t>Skill Level</t>
  </si>
  <si>
    <t>Date of Joining</t>
  </si>
  <si>
    <t>Status</t>
  </si>
  <si>
    <t>EMP001</t>
  </si>
  <si>
    <t>Ahmed Khan</t>
  </si>
  <si>
    <t>Mid</t>
  </si>
  <si>
    <t>Active</t>
  </si>
  <si>
    <t>EMP002</t>
  </si>
  <si>
    <t>Ahmed Sharma</t>
  </si>
  <si>
    <t>EMP003</t>
  </si>
  <si>
    <t>Ahmed Patel</t>
  </si>
  <si>
    <t>EMP004</t>
  </si>
  <si>
    <t>Ahmed Malik</t>
  </si>
  <si>
    <t>EMP005</t>
  </si>
  <si>
    <t>Ahmed Iyer</t>
  </si>
  <si>
    <t>Senior</t>
  </si>
  <si>
    <t>EMP006</t>
  </si>
  <si>
    <t>Ahmed Hussain</t>
  </si>
  <si>
    <t>EMP007</t>
  </si>
  <si>
    <t>Ahmed Reddy</t>
  </si>
  <si>
    <t>EMP008</t>
  </si>
  <si>
    <t>Ahmed Ansari</t>
  </si>
  <si>
    <t>EMP009</t>
  </si>
  <si>
    <t>Ahmed Nair</t>
  </si>
  <si>
    <t>EMP010</t>
  </si>
  <si>
    <t>Ahmed Siddiqui</t>
  </si>
  <si>
    <t>EMP011</t>
  </si>
  <si>
    <t>Ahmed Verma</t>
  </si>
  <si>
    <t>EMP012</t>
  </si>
  <si>
    <t>Ahmed Baig</t>
  </si>
  <si>
    <t>EMP013</t>
  </si>
  <si>
    <t>Ahmed Menon</t>
  </si>
  <si>
    <t>EMP014</t>
  </si>
  <si>
    <t>Ahmed Qureshi</t>
  </si>
  <si>
    <t>EMP015</t>
  </si>
  <si>
    <t>Ahmed Rao</t>
  </si>
  <si>
    <t>EMP016</t>
  </si>
  <si>
    <t>Ahmed Farooqi</t>
  </si>
  <si>
    <t>EMP017</t>
  </si>
  <si>
    <t>Ahmed Pillai</t>
  </si>
  <si>
    <t>Junior</t>
  </si>
  <si>
    <t>EMP018</t>
  </si>
  <si>
    <t>Ahmed Shaikh</t>
  </si>
  <si>
    <t>EMP019</t>
  </si>
  <si>
    <t>Ahmed Gupta</t>
  </si>
  <si>
    <t>EMP020</t>
  </si>
  <si>
    <t>Ahmed Chaudhry</t>
  </si>
  <si>
    <t>EMP021</t>
  </si>
  <si>
    <t>Rahul Khan</t>
  </si>
  <si>
    <t>EMP022</t>
  </si>
  <si>
    <t>Rahul Sharma</t>
  </si>
  <si>
    <t>EMP023</t>
  </si>
  <si>
    <t>Rahul Patel</t>
  </si>
  <si>
    <t>EMP024</t>
  </si>
  <si>
    <t>Rahul Malik</t>
  </si>
  <si>
    <t>EMP025</t>
  </si>
  <si>
    <t>Rahul Iyer</t>
  </si>
  <si>
    <t>EMP026</t>
  </si>
  <si>
    <t>Rahul Hussain</t>
  </si>
  <si>
    <t>EMP027</t>
  </si>
  <si>
    <t>Rahul Reddy</t>
  </si>
  <si>
    <t>EMP028</t>
  </si>
  <si>
    <t>Rahul Ansari</t>
  </si>
  <si>
    <t>EMP029</t>
  </si>
  <si>
    <t>Rahul Nair</t>
  </si>
  <si>
    <t>EMP030</t>
  </si>
  <si>
    <t>Rahul Siddiqui</t>
  </si>
  <si>
    <t>EMP031</t>
  </si>
  <si>
    <t>Rahul Verma</t>
  </si>
  <si>
    <t>EMP032</t>
  </si>
  <si>
    <t>Rahul Baig</t>
  </si>
  <si>
    <t>EMP033</t>
  </si>
  <si>
    <t>Rahul Menon</t>
  </si>
  <si>
    <t>EMP034</t>
  </si>
  <si>
    <t>Rahul Qureshi</t>
  </si>
  <si>
    <t>EMP035</t>
  </si>
  <si>
    <t>Rahul Rao</t>
  </si>
  <si>
    <t>EMP036</t>
  </si>
  <si>
    <t>Rahul Farooqi</t>
  </si>
  <si>
    <t>EMP037</t>
  </si>
  <si>
    <t>Rahul Pillai</t>
  </si>
  <si>
    <t>EMP038</t>
  </si>
  <si>
    <t>Rahul Shaikh</t>
  </si>
  <si>
    <t>EMP039</t>
  </si>
  <si>
    <t>Rahul Gupta</t>
  </si>
  <si>
    <t>EMP040</t>
  </si>
  <si>
    <t>Rahul Chaudhry</t>
  </si>
  <si>
    <t>EMP041</t>
  </si>
  <si>
    <t>Suresh Khan</t>
  </si>
  <si>
    <t>EMP042</t>
  </si>
  <si>
    <t>Suresh Sharma</t>
  </si>
  <si>
    <t>EMP043</t>
  </si>
  <si>
    <t>Suresh Patel</t>
  </si>
  <si>
    <t>EMP044</t>
  </si>
  <si>
    <t>Suresh Malik</t>
  </si>
  <si>
    <t>EMP045</t>
  </si>
  <si>
    <t>Suresh Iyer</t>
  </si>
  <si>
    <t>EMP046</t>
  </si>
  <si>
    <t>Suresh Hussain</t>
  </si>
  <si>
    <t>EMP047</t>
  </si>
  <si>
    <t>Suresh Reddy</t>
  </si>
  <si>
    <t>EMP048</t>
  </si>
  <si>
    <t>Suresh Ansari</t>
  </si>
  <si>
    <t>EMP049</t>
  </si>
  <si>
    <t>Suresh Nair</t>
  </si>
  <si>
    <t>EMP050</t>
  </si>
  <si>
    <t>Suresh Siddiqui</t>
  </si>
  <si>
    <t>EMP051</t>
  </si>
  <si>
    <t>Suresh Verma</t>
  </si>
  <si>
    <t>EMP052</t>
  </si>
  <si>
    <t>Suresh Baig</t>
  </si>
  <si>
    <t>EMP053</t>
  </si>
  <si>
    <t>Suresh Menon</t>
  </si>
  <si>
    <t>PRODUCTION STAGES</t>
  </si>
  <si>
    <t>Project ID</t>
  </si>
  <si>
    <t>Project Name</t>
  </si>
  <si>
    <t>Client / Site</t>
  </si>
  <si>
    <t>Location</t>
  </si>
  <si>
    <t>Priority</t>
  </si>
  <si>
    <t>Start Date</t>
  </si>
  <si>
    <t>Target End Date</t>
  </si>
  <si>
    <t>Design (Calendar Days)</t>
  </si>
  <si>
    <t>Planning (Calendar Days)</t>
  </si>
  <si>
    <t>Procurement (Calendar Days)</t>
  </si>
  <si>
    <t>Sourcing (Calendar Days)</t>
  </si>
  <si>
    <t>Manufacturing (Calendar Days)</t>
  </si>
  <si>
    <t>Quality Control (Calendar Days)</t>
  </si>
  <si>
    <t>Packing (Calendar Days)</t>
  </si>
  <si>
    <t>Shipping (Calendar Days)</t>
  </si>
  <si>
    <t>PRJ001</t>
  </si>
  <si>
    <t>Al Barari Villa – Interior Joinery</t>
  </si>
  <si>
    <t>Private Villa Client</t>
  </si>
  <si>
    <t>Al Barari, Dubai</t>
  </si>
  <si>
    <t>High</t>
  </si>
  <si>
    <t>Planned</t>
  </si>
  <si>
    <t>PRJ002</t>
  </si>
  <si>
    <t>Palm Jumeirah Hotel – Joinery &amp; MEP Fit-out</t>
  </si>
  <si>
    <t>Hospitality Group</t>
  </si>
  <si>
    <t>Palm Jumeirah, Dubai</t>
  </si>
  <si>
    <t>PRJ003</t>
  </si>
  <si>
    <t>Business Bay Office – Joinery &amp; Manufacturing</t>
  </si>
  <si>
    <t>Corporate Client</t>
  </si>
  <si>
    <t>Business Bay, Dubai</t>
  </si>
  <si>
    <t>Medium</t>
  </si>
  <si>
    <t>PRJ004</t>
  </si>
  <si>
    <t>Dubai Mall Retail Store – Fast-track Fit-out</t>
  </si>
  <si>
    <t>Retail Brand</t>
  </si>
  <si>
    <t>Downtown Dubai</t>
  </si>
  <si>
    <t>Urgent</t>
  </si>
  <si>
    <t>PRJ005</t>
  </si>
  <si>
    <t>Sharjah Mosque – Furniture Manufacturing</t>
  </si>
  <si>
    <t>Government / Waqf</t>
  </si>
  <si>
    <t>Sharjah</t>
  </si>
  <si>
    <t>PRJ006</t>
  </si>
  <si>
    <t>Dubai Marina Yacht – Interior Joinery</t>
  </si>
  <si>
    <t>Private Owner</t>
  </si>
  <si>
    <t>Dubai Marina</t>
  </si>
  <si>
    <t>PRJ007</t>
  </si>
  <si>
    <t>Weekly Off Day(s)</t>
  </si>
  <si>
    <t>Standard Daily Hours</t>
  </si>
  <si>
    <t>Overtime Rule</t>
  </si>
  <si>
    <t>Notes</t>
  </si>
  <si>
    <t>Monday – Friday</t>
  </si>
  <si>
    <t>Saturday, Sunday</t>
  </si>
  <si>
    <t>Not Applicable</t>
  </si>
  <si>
    <t>Design, Planning, Procurement, Sourcing, QA Engineer, Logistics Coordinator and other management/engineering roles.</t>
  </si>
  <si>
    <t>Monday – Saturday</t>
  </si>
  <si>
    <t>Sunday</t>
  </si>
  <si>
    <t>Applicable beyond 8 hrs/day or on approved additional working days (incl. Sunday if approved)</t>
  </si>
  <si>
    <t>Manufacturing, QC Inspector, Packing, Dispatch/Driver and other operational/production floor roles.</t>
  </si>
  <si>
    <t>Public Holiday</t>
  </si>
  <si>
    <t>As per UAE official calendar</t>
  </si>
  <si>
    <t>-</t>
  </si>
  <si>
    <t>Applicable if worked, per labor law</t>
  </si>
  <si>
    <t>Candidate's system should allow admin to mark specific dates as Public Holidays affecting all categories.</t>
  </si>
  <si>
    <t>Resource</t>
  </si>
  <si>
    <t>Duration</t>
  </si>
  <si>
    <t>Start</t>
  </si>
  <si>
    <t>End</t>
  </si>
  <si>
    <t>Sep 2026</t>
  </si>
  <si>
    <t>Oct 2026</t>
  </si>
  <si>
    <t>Ref</t>
  </si>
  <si>
    <t>Tasks</t>
  </si>
  <si>
    <t>Days</t>
  </si>
  <si>
    <t>Date</t>
  </si>
  <si>
    <t>Stage 1: Design</t>
  </si>
  <si>
    <t>Design Team (White Collar)</t>
  </si>
  <si>
    <t>1</t>
  </si>
  <si>
    <t>Concept design &amp; drawings</t>
  </si>
  <si>
    <t>Design Engineer - Ahmed Sharma (EMP002)</t>
  </si>
  <si>
    <t>01-Sep-2026</t>
  </si>
  <si>
    <t>03-Sep-2026</t>
  </si>
  <si>
    <t>2</t>
  </si>
  <si>
    <t>CAD detailing &amp; shop drawings</t>
  </si>
  <si>
    <t>CAD Draftsman - Ahmed Iyer (EMP005)</t>
  </si>
  <si>
    <t>Stage 2: Planning</t>
  </si>
  <si>
    <t>Planning Team (White Collar)</t>
  </si>
  <si>
    <t>3</t>
  </si>
  <si>
    <t>Production planning &amp; scheduling</t>
  </si>
  <si>
    <t>Project Planner - Ahmed Nair (EMP009)</t>
  </si>
  <si>
    <t>07-Sep-2026</t>
  </si>
  <si>
    <t>Stage 3: Procurement</t>
  </si>
  <si>
    <t>Procurement Team (White Collar)</t>
  </si>
  <si>
    <t>4</t>
  </si>
  <si>
    <t>Material &amp; BOQ procurement</t>
  </si>
  <si>
    <t>Procurement Officer - Ahmed Baig (EMP012)</t>
  </si>
  <si>
    <t>13-Sep-2026</t>
  </si>
  <si>
    <t>18-Sep-2026</t>
  </si>
  <si>
    <t>Stage 4: Sourcing</t>
  </si>
  <si>
    <t>Sourcing Team (White Collar)</t>
  </si>
  <si>
    <t>5</t>
  </si>
  <si>
    <t>Vendor &amp; supplier sourcing</t>
  </si>
  <si>
    <t>Vendor Dev. Exec. - Ahmed Rao (EMP015)</t>
  </si>
  <si>
    <t>19-Sep-2026</t>
  </si>
  <si>
    <t>23-Sep-2026</t>
  </si>
  <si>
    <t>Stage 5: Manufacturing</t>
  </si>
  <si>
    <t>Production Floor (Blue Collar)</t>
  </si>
  <si>
    <t>6</t>
  </si>
  <si>
    <t>Carpentry &amp; assembly</t>
  </si>
  <si>
    <t>Carpenter - Rahul Sharma (EMP022)</t>
  </si>
  <si>
    <t>24-Sep-2026</t>
  </si>
  <si>
    <t>7</t>
  </si>
  <si>
    <t>CNC cutting &amp; edge banding</t>
  </si>
  <si>
    <t>Machine Operator - Rahul Hussain (EMP026)</t>
  </si>
  <si>
    <t>8</t>
  </si>
  <si>
    <t>Welding &amp; metal fabrication</t>
  </si>
  <si>
    <t>Welder/Fabricator - Rahul Siddiqui (EMP030)</t>
  </si>
  <si>
    <t>06-Oct-2026</t>
  </si>
  <si>
    <t>18-Oct-2026</t>
  </si>
  <si>
    <t>9</t>
  </si>
  <si>
    <t>Finishing &amp; polishing</t>
  </si>
  <si>
    <t>Finishing Technician - Rahul Menon (EMP033)</t>
  </si>
  <si>
    <t>11-Oct-2026</t>
  </si>
  <si>
    <t>23-Oct-2026</t>
  </si>
  <si>
    <t>Stage 6: Quality Control</t>
  </si>
  <si>
    <t>QA/QC Team (Mixed)</t>
  </si>
  <si>
    <t>10</t>
  </si>
  <si>
    <t>In-line quality inspection</t>
  </si>
  <si>
    <t>QC Inspector - Suresh Sharma (EMP042)</t>
  </si>
  <si>
    <t>24-Oct-2026</t>
  </si>
  <si>
    <t>11</t>
  </si>
  <si>
    <t>Final QA sign-off</t>
  </si>
  <si>
    <t>QA Engineer - Rahul Chaudhry (EMP040)</t>
  </si>
  <si>
    <t>Stage 7: Packing</t>
  </si>
  <si>
    <t>Packing Team (Blue Collar)</t>
  </si>
  <si>
    <t>12</t>
  </si>
  <si>
    <t>Packing &amp; crating</t>
  </si>
  <si>
    <t>Packing Helper - Suresh Hussain (EMP046)</t>
  </si>
  <si>
    <t>26-Oct-2026</t>
  </si>
  <si>
    <t>28-Oct-2026</t>
  </si>
  <si>
    <t>Stage 8: Shipping</t>
  </si>
  <si>
    <t>Logistics Team (Mixed)</t>
  </si>
  <si>
    <t>13</t>
  </si>
  <si>
    <t>Dispatch coordination</t>
  </si>
  <si>
    <t>Logistics Coordinator - Suresh Nair (EMP049)</t>
  </si>
  <si>
    <t>29-Oct-2026</t>
  </si>
  <si>
    <t>14</t>
  </si>
  <si>
    <t>Loading &amp; transport</t>
  </si>
  <si>
    <t>Driver - Suresh Baig (EMP052)</t>
  </si>
  <si>
    <t>30-Oct-2026</t>
  </si>
  <si>
    <t>Total (Resource-Days, sum of all employees' individual days)</t>
  </si>
  <si>
    <t>Total Man Power Days</t>
  </si>
  <si>
    <t>04-Sep-2026</t>
  </si>
  <si>
    <t>14-Sep-2026</t>
  </si>
  <si>
    <t>21-Sep-2026</t>
  </si>
  <si>
    <t>Actual Working Days</t>
  </si>
  <si>
    <t>Project Start Date</t>
  </si>
  <si>
    <t>Report Summary</t>
  </si>
  <si>
    <t>Project Expected Completion Date</t>
  </si>
  <si>
    <t>Stage Name</t>
  </si>
  <si>
    <t>Manufacturing Stages</t>
  </si>
  <si>
    <t>SNO</t>
  </si>
  <si>
    <t>Role &amp; Employee</t>
  </si>
  <si>
    <t>ABC RENOVATION PROJECT</t>
  </si>
  <si>
    <t xml:space="preserve"> PRJ007 - ABC RENOVATION PROJECT</t>
  </si>
  <si>
    <t>PROJECT NAME</t>
  </si>
  <si>
    <t>Project Manager</t>
  </si>
  <si>
    <t>EMP054</t>
  </si>
  <si>
    <t>Syed Hussain</t>
  </si>
  <si>
    <t>Manager</t>
  </si>
  <si>
    <t>EMP055</t>
  </si>
  <si>
    <t>EMP056</t>
  </si>
  <si>
    <t>Tyson</t>
  </si>
  <si>
    <t>Vinay</t>
  </si>
  <si>
    <t>PROJECT MANAGER</t>
  </si>
  <si>
    <t>Project : PRJ007 - ABC RENOVATION PROJECT, 
Production Manpower Plan (Sample Expected Output)</t>
  </si>
  <si>
    <t>QA/QC</t>
  </si>
  <si>
    <t>T</t>
  </si>
  <si>
    <t>W</t>
  </si>
  <si>
    <t>F</t>
  </si>
  <si>
    <t>SA</t>
  </si>
  <si>
    <t>SU</t>
  </si>
  <si>
    <t>M</t>
  </si>
  <si>
    <t>Assessment Task: AI Manpower Allocation &amp; Project Scheduling</t>
  </si>
  <si>
    <t>1. Objective</t>
  </si>
  <si>
    <t>Manage employees/resources</t>
  </si>
  <si>
    <t>Manage projects</t>
  </si>
  <si>
    <t>Manage stages/activities</t>
  </si>
  <si>
    <t>Allocate manpower to projects</t>
  </si>
  <si>
    <t>Calculate schedules based on dates and working calendars</t>
  </si>
  <si>
    <t>Identify manpower shortages</t>
  </si>
  <si>
    <t>Identify employee allocation conflicts</t>
  </si>
  <si>
    <t>Consider employee designation/skills when allocating</t>
  </si>
  <si>
    <t>Provide scheduling and reporting output</t>
  </si>
  <si>
    <t>Implement AI-assisted recommendations where appropriate</t>
  </si>
  <si>
    <t>2. Before You Start: Understand the Business Requirement</t>
  </si>
  <si>
    <t>3. Sheet Guide</t>
  </si>
  <si>
    <t>4. Key Business Rules</t>
  </si>
  <si>
    <t>Work Monday–Friday</t>
  </si>
  <si>
    <t>Saturday &amp; Sunday = Week Off</t>
  </si>
  <si>
    <t>No overtime</t>
  </si>
  <si>
    <t>Work Monday–Saturday</t>
  </si>
  <si>
    <t>Sunday = Week Off</t>
  </si>
  <si>
    <t>Overtime allowed beyond standard 8 hrs/day, or as approved</t>
  </si>
  <si>
    <t>An employee can only be allocated to a project stage that matches their designation (see Stage–Designation Master).</t>
  </si>
  <si>
    <t>Standard shift = 8 hours/day. Blue Collar overtime is tracked separately at OT rate.</t>
  </si>
  <si>
    <t>5. Deliverable</t>
  </si>
  <si>
    <t>Design and develop a scalable, AI-enabled manpower allocation and project scheduling solution that can:</t>
  </si>
  <si>
    <t>1. Review all sheets provided in this Excel file before starting development.</t>
  </si>
  <si>
    <t>2. Understand the relationship between the Master data and the Expected Output.</t>
  </si>
  <si>
    <t>3. The sample data is provided only to explain the business scenario and expected outcome — do not assume it represents final production volume.</t>
  </si>
  <si>
    <t>4. Your solution must support unlimited additional employees, projects, companies, stages, designations, vendors, documents, and transactions in the future. Do not hardcode against the sample size.</t>
  </si>
  <si>
    <t>Stage–Designation Master: The 8 production stages, valid designations per stage, and calendar rules (White Collar / Blue Collar).</t>
  </si>
  <si>
    <t>Employee Master (Sample): 53 sample employees across all stages. System must allow adding/editing/removing employees beyond this sample.</t>
  </si>
  <si>
    <t>Project Master (Sample): 7 sample projects with planned stage durations. System must allow adding new projects.</t>
  </si>
  <si>
    <t>Calendar Rules: Working days, weekly off, and overtime logic used for allocation and scheduling calculations.</t>
  </si>
  <si>
    <t>Expected Output: Sample manpower allocation view for project PRJ007 "VILLA A12 – Renovation" (planned over 60 calendar days). This is a reference for the required output format.</t>
  </si>
  <si>
    <t>White Collar staff (Design, Planning, Procurement, Sourcing, QA/Management):</t>
  </si>
  <si>
    <t>Blue Collar staff (Manufacturing, QC Inspection, Packing, Shipping/Dispatch):</t>
  </si>
  <si>
    <t>Employee IDs, Project IDs, and all data in this workbook are sample/illustrative — the system must support unlimited additions, not just this sample set.</t>
  </si>
  <si>
    <t>(Days) columns in the Project Master represent calendar days for that stage (stage start date to stage end date). These are NOT a count of working days — actual working days will be fewer once each employee category's weekly-off is excluded. This matches how the Expected Output sample is built.</t>
  </si>
  <si>
    <t>Using the supplied sample data and business rules as a reference, design and develop a scalable, AI-enabled manpower allocation and project scheduling solution
with a proper, well-structured architecture covering the data layer, allocation logic, scheduling engine, validation/conflict checks, AI recommendations, and reporting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</si>
</sst>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\-mmm\-yyyy"/>
  </numFmts>
  <fonts count="32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0"/>
      <color rgb="FFFFFFFF"/>
      <name val="Arial"/>
      <family val="2"/>
    </font>
    <font>
      <b/>
      <sz val="11"/>
      <color theme="1"/>
      <name val="Calibri"/>
      <family val="2"/>
      <charset val="1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Aptos Narrow"/>
      <family val="2"/>
      <charset val="1"/>
    </font>
    <font>
      <b/>
      <sz val="12"/>
      <color rgb="FF000000"/>
      <name val="Aptos Narrow"/>
      <family val="2"/>
    </font>
    <font>
      <b/>
      <sz val="10"/>
      <color rgb="FF000000"/>
      <name val="Aptos Narrow"/>
      <family val="2"/>
    </font>
    <font>
      <sz val="11"/>
      <name val="Aptos Narrow"/>
      <family val="2"/>
    </font>
    <font>
      <sz val="12"/>
      <color rgb="FF000000"/>
      <name val="Aptos Narrow"/>
      <family val="2"/>
    </font>
    <font>
      <sz val="12"/>
      <color rgb="FF000000"/>
      <name val="Aptos Narrow"/>
      <family val="2"/>
      <charset val="1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2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theme="0"/>
      <name val="Calibri"/>
      <family val="2"/>
    </font>
    <font>
      <b/>
      <sz val="10"/>
      <color rgb="FF000000"/>
      <name val="Aptos Narrow"/>
      <family val="2"/>
    </font>
    <font>
      <b/>
      <sz val="10"/>
      <name val="Aptos Narrow"/>
      <family val="2"/>
    </font>
    <font>
      <b/>
      <sz val="12"/>
      <color theme="1"/>
      <name val="Aptos Narrow"/>
      <family val="2"/>
    </font>
    <font>
      <sz val="12"/>
      <color rgb="FF000000"/>
      <name val="Aptos Narrow"/>
      <family val="2"/>
    </font>
    <font>
      <sz val="11"/>
      <color theme="0"/>
      <name val="Aptos Narrow"/>
      <family val="2"/>
    </font>
    <font>
      <b/>
      <sz val="10"/>
      <color theme="0"/>
      <name val="Aptos Narrow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</font>
    <font>
      <b/>
      <sz val="13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theme="4" tint="0.59987182226020086"/>
        <bgColor rgb="FFADD8E6"/>
      </patternFill>
    </fill>
    <fill>
      <patternFill patternType="solid">
        <fgColor rgb="FFD8D8D8"/>
        <bgColor rgb="FFD9D9D9"/>
      </patternFill>
    </fill>
    <fill>
      <patternFill patternType="solid">
        <fgColor rgb="FFD9D9D9"/>
        <bgColor rgb="FFD8D8D8"/>
      </patternFill>
    </fill>
    <fill>
      <patternFill patternType="solid">
        <fgColor rgb="FFADD8E6"/>
        <bgColor rgb="FFB9CDE5"/>
      </patternFill>
    </fill>
    <fill>
      <patternFill patternType="solid">
        <fgColor rgb="FFC6E0B4"/>
        <bgColor rgb="FFD8D8D8"/>
      </patternFill>
    </fill>
    <fill>
      <patternFill patternType="solid">
        <fgColor rgb="FFCDB5E8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64C4C4"/>
        <bgColor rgb="FFADD8E6"/>
      </patternFill>
    </fill>
    <fill>
      <patternFill patternType="solid">
        <fgColor rgb="FFD2B48C"/>
        <bgColor rgb="FFBFBFBF"/>
      </patternFill>
    </fill>
    <fill>
      <patternFill patternType="solid">
        <fgColor rgb="FFF4A9A8"/>
        <bgColor rgb="FFD2B48C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D9D9D9"/>
      </patternFill>
    </fill>
    <fill>
      <patternFill patternType="solid">
        <fgColor rgb="FF002060"/>
        <bgColor rgb="FFD8D8D8"/>
      </patternFill>
    </fill>
    <fill>
      <patternFill patternType="solid">
        <fgColor theme="3" tint="0.79998168889431442"/>
        <bgColor rgb="FFDDEBF7"/>
      </patternFill>
    </fill>
    <fill>
      <patternFill patternType="solid">
        <fgColor theme="3" tint="0.79998168889431442"/>
        <bgColor rgb="FFD9D9D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rgb="FFD8D8D8"/>
      </patternFill>
    </fill>
    <fill>
      <patternFill patternType="solid">
        <fgColor theme="6" tint="0.59999389629810485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2" tint="-0.249977111117893"/>
        <bgColor rgb="FFD8D8D8"/>
      </patternFill>
    </fill>
    <fill>
      <patternFill patternType="solid">
        <fgColor theme="5" tint="0.59999389629810485"/>
        <bgColor rgb="FFD8D8D8"/>
      </patternFill>
    </fill>
    <fill>
      <patternFill patternType="solid">
        <fgColor theme="1" tint="0.499984740745262"/>
        <bgColor rgb="FFD8D8D8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3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10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3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wrapText="1"/>
    </xf>
    <xf numFmtId="165" fontId="13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5" fillId="5" borderId="7" xfId="0" applyFont="1" applyFill="1" applyBorder="1" applyAlignment="1">
      <alignment wrapText="1"/>
    </xf>
    <xf numFmtId="0" fontId="6" fillId="6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vertical="center"/>
    </xf>
    <xf numFmtId="0" fontId="9" fillId="0" borderId="12" xfId="0" applyFont="1" applyBorder="1" applyAlignment="1">
      <alignment horizontal="right" vertical="center"/>
    </xf>
    <xf numFmtId="0" fontId="11" fillId="0" borderId="12" xfId="0" applyFont="1" applyBorder="1" applyAlignment="1">
      <alignment vertical="center"/>
    </xf>
    <xf numFmtId="0" fontId="5" fillId="5" borderId="15" xfId="0" applyFont="1" applyFill="1" applyBorder="1"/>
    <xf numFmtId="0" fontId="9" fillId="0" borderId="16" xfId="0" applyFont="1" applyBorder="1" applyAlignment="1">
      <alignment horizontal="right" vertical="center"/>
    </xf>
    <xf numFmtId="0" fontId="17" fillId="2" borderId="3" xfId="0" applyFont="1" applyFill="1" applyBorder="1" applyAlignment="1">
      <alignment wrapText="1"/>
    </xf>
    <xf numFmtId="0" fontId="10" fillId="0" borderId="3" xfId="0" applyFont="1" applyBorder="1" applyAlignment="1">
      <alignment horizontal="left" vertical="center" indent="1"/>
    </xf>
    <xf numFmtId="0" fontId="17" fillId="7" borderId="3" xfId="0" applyFont="1" applyFill="1" applyBorder="1" applyAlignment="1">
      <alignment wrapText="1"/>
    </xf>
    <xf numFmtId="0" fontId="17" fillId="8" borderId="3" xfId="0" applyFont="1" applyFill="1" applyBorder="1" applyAlignment="1">
      <alignment wrapText="1"/>
    </xf>
    <xf numFmtId="0" fontId="17" fillId="9" borderId="3" xfId="0" applyFont="1" applyFill="1" applyBorder="1" applyAlignment="1">
      <alignment wrapText="1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7" fillId="13" borderId="3" xfId="0" applyFont="1" applyFill="1" applyBorder="1" applyAlignment="1">
      <alignment wrapText="1"/>
    </xf>
    <xf numFmtId="0" fontId="19" fillId="0" borderId="12" xfId="0" applyFont="1" applyBorder="1" applyAlignment="1">
      <alignment vertical="center"/>
    </xf>
    <xf numFmtId="0" fontId="4" fillId="0" borderId="0" xfId="0" applyFont="1"/>
    <xf numFmtId="0" fontId="17" fillId="12" borderId="3" xfId="0" applyFont="1" applyFill="1" applyBorder="1" applyAlignment="1">
      <alignment wrapText="1"/>
    </xf>
    <xf numFmtId="0" fontId="17" fillId="11" borderId="3" xfId="0" applyFont="1" applyFill="1" applyBorder="1" applyAlignment="1">
      <alignment wrapText="1"/>
    </xf>
    <xf numFmtId="0" fontId="17" fillId="10" borderId="3" xfId="0" applyFont="1" applyFill="1" applyBorder="1" applyAlignment="1">
      <alignment wrapText="1"/>
    </xf>
    <xf numFmtId="0" fontId="20" fillId="14" borderId="3" xfId="0" applyFont="1" applyFill="1" applyBorder="1"/>
    <xf numFmtId="0" fontId="22" fillId="0" borderId="3" xfId="0" applyFont="1" applyBorder="1" applyAlignment="1">
      <alignment horizontal="right" vertical="center"/>
    </xf>
    <xf numFmtId="0" fontId="22" fillId="5" borderId="3" xfId="0" applyFont="1" applyFill="1" applyBorder="1" applyAlignment="1">
      <alignment horizontal="right" vertical="center"/>
    </xf>
    <xf numFmtId="0" fontId="22" fillId="7" borderId="3" xfId="0" applyFont="1" applyFill="1" applyBorder="1" applyAlignment="1">
      <alignment horizontal="right" vertical="center"/>
    </xf>
    <xf numFmtId="0" fontId="22" fillId="10" borderId="3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0" fontId="22" fillId="2" borderId="17" xfId="0" applyFont="1" applyFill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22" fillId="5" borderId="17" xfId="0" applyFont="1" applyFill="1" applyBorder="1" applyAlignment="1">
      <alignment vertical="center"/>
    </xf>
    <xf numFmtId="0" fontId="22" fillId="0" borderId="3" xfId="0" applyFont="1" applyBorder="1" applyAlignment="1">
      <alignment vertical="center"/>
    </xf>
    <xf numFmtId="0" fontId="22" fillId="5" borderId="3" xfId="0" applyFont="1" applyFill="1" applyBorder="1" applyAlignment="1">
      <alignment vertical="center"/>
    </xf>
    <xf numFmtId="0" fontId="22" fillId="8" borderId="3" xfId="0" applyFont="1" applyFill="1" applyBorder="1" applyAlignment="1">
      <alignment vertical="center"/>
    </xf>
    <xf numFmtId="0" fontId="22" fillId="9" borderId="3" xfId="0" applyFont="1" applyFill="1" applyBorder="1" applyAlignment="1">
      <alignment vertical="center"/>
    </xf>
    <xf numFmtId="0" fontId="22" fillId="10" borderId="3" xfId="0" applyFont="1" applyFill="1" applyBorder="1" applyAlignment="1">
      <alignment vertical="center"/>
    </xf>
    <xf numFmtId="0" fontId="22" fillId="11" borderId="3" xfId="0" applyFont="1" applyFill="1" applyBorder="1" applyAlignment="1">
      <alignment vertical="center"/>
    </xf>
    <xf numFmtId="0" fontId="22" fillId="12" borderId="3" xfId="0" applyFont="1" applyFill="1" applyBorder="1" applyAlignment="1">
      <alignment vertical="center"/>
    </xf>
    <xf numFmtId="0" fontId="22" fillId="13" borderId="3" xfId="0" applyFont="1" applyFill="1" applyBorder="1" applyAlignment="1">
      <alignment horizontal="right" vertical="center"/>
    </xf>
    <xf numFmtId="0" fontId="22" fillId="13" borderId="3" xfId="0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wrapText="1"/>
    </xf>
    <xf numFmtId="0" fontId="24" fillId="7" borderId="3" xfId="0" applyFont="1" applyFill="1" applyBorder="1" applyAlignment="1">
      <alignment horizontal="center" wrapText="1"/>
    </xf>
    <xf numFmtId="0" fontId="24" fillId="8" borderId="3" xfId="0" applyFont="1" applyFill="1" applyBorder="1" applyAlignment="1">
      <alignment horizontal="center" wrapText="1"/>
    </xf>
    <xf numFmtId="0" fontId="24" fillId="9" borderId="3" xfId="0" applyFont="1" applyFill="1" applyBorder="1" applyAlignment="1">
      <alignment horizontal="center" wrapText="1"/>
    </xf>
    <xf numFmtId="0" fontId="24" fillId="10" borderId="3" xfId="0" applyFont="1" applyFill="1" applyBorder="1" applyAlignment="1">
      <alignment horizontal="center" wrapText="1"/>
    </xf>
    <xf numFmtId="0" fontId="24" fillId="11" borderId="3" xfId="0" applyFont="1" applyFill="1" applyBorder="1" applyAlignment="1">
      <alignment horizontal="center" wrapText="1"/>
    </xf>
    <xf numFmtId="0" fontId="24" fillId="12" borderId="3" xfId="0" applyFont="1" applyFill="1" applyBorder="1" applyAlignment="1">
      <alignment horizontal="center" wrapText="1"/>
    </xf>
    <xf numFmtId="0" fontId="24" fillId="13" borderId="3" xfId="0" applyFont="1" applyFill="1" applyBorder="1" applyAlignment="1">
      <alignment horizontal="center" wrapText="1"/>
    </xf>
    <xf numFmtId="0" fontId="2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6" fillId="14" borderId="3" xfId="0" applyFont="1" applyFill="1" applyBorder="1" applyAlignment="1">
      <alignment wrapText="1"/>
    </xf>
    <xf numFmtId="0" fontId="20" fillId="14" borderId="3" xfId="0" applyFont="1" applyFill="1" applyBorder="1" applyAlignment="1">
      <alignment vertical="center"/>
    </xf>
    <xf numFmtId="0" fontId="20" fillId="14" borderId="3" xfId="0" applyFont="1" applyFill="1" applyBorder="1" applyAlignment="1">
      <alignment horizontal="center" vertical="center"/>
    </xf>
    <xf numFmtId="0" fontId="27" fillId="14" borderId="3" xfId="0" applyFont="1" applyFill="1" applyBorder="1" applyAlignment="1">
      <alignment horizontal="right" vertical="center"/>
    </xf>
    <xf numFmtId="0" fontId="27" fillId="14" borderId="13" xfId="0" applyFont="1" applyFill="1" applyBorder="1" applyAlignment="1">
      <alignment horizontal="right" vertical="center"/>
    </xf>
    <xf numFmtId="0" fontId="27" fillId="14" borderId="14" xfId="0" applyFont="1" applyFill="1" applyBorder="1" applyAlignment="1">
      <alignment horizontal="right" vertical="center"/>
    </xf>
    <xf numFmtId="0" fontId="20" fillId="15" borderId="3" xfId="0" applyFont="1" applyFill="1" applyBorder="1" applyAlignment="1">
      <alignment horizontal="center" vertical="center" wrapText="1"/>
    </xf>
    <xf numFmtId="0" fontId="20" fillId="16" borderId="3" xfId="0" applyFont="1" applyFill="1" applyBorder="1" applyAlignment="1">
      <alignment vertical="center"/>
    </xf>
    <xf numFmtId="0" fontId="20" fillId="16" borderId="3" xfId="0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right" vertical="center"/>
    </xf>
    <xf numFmtId="0" fontId="27" fillId="16" borderId="12" xfId="0" applyFont="1" applyFill="1" applyBorder="1" applyAlignment="1">
      <alignment horizontal="right" vertical="center"/>
    </xf>
    <xf numFmtId="0" fontId="27" fillId="16" borderId="16" xfId="0" applyFont="1" applyFill="1" applyBorder="1" applyAlignment="1">
      <alignment horizontal="right" vertical="center"/>
    </xf>
    <xf numFmtId="0" fontId="1" fillId="17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6" fillId="2" borderId="3" xfId="0" applyFont="1" applyFill="1" applyBorder="1"/>
    <xf numFmtId="0" fontId="16" fillId="7" borderId="3" xfId="0" applyFont="1" applyFill="1" applyBorder="1"/>
    <xf numFmtId="0" fontId="16" fillId="8" borderId="3" xfId="0" applyFont="1" applyFill="1" applyBorder="1"/>
    <xf numFmtId="0" fontId="16" fillId="9" borderId="3" xfId="0" applyFont="1" applyFill="1" applyBorder="1"/>
    <xf numFmtId="0" fontId="16" fillId="10" borderId="3" xfId="0" applyFont="1" applyFill="1" applyBorder="1"/>
    <xf numFmtId="0" fontId="16" fillId="11" borderId="3" xfId="0" applyFont="1" applyFill="1" applyBorder="1"/>
    <xf numFmtId="0" fontId="16" fillId="12" borderId="3" xfId="0" applyFont="1" applyFill="1" applyBorder="1"/>
    <xf numFmtId="0" fontId="16" fillId="13" borderId="3" xfId="0" applyFont="1" applyFill="1" applyBorder="1"/>
    <xf numFmtId="0" fontId="1" fillId="19" borderId="1" xfId="0" applyFont="1" applyFill="1" applyBorder="1" applyAlignment="1">
      <alignment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vertical="center" wrapText="1"/>
    </xf>
    <xf numFmtId="165" fontId="1" fillId="17" borderId="1" xfId="0" applyNumberFormat="1" applyFont="1" applyFill="1" applyBorder="1" applyAlignment="1">
      <alignment vertical="center" wrapText="1"/>
    </xf>
    <xf numFmtId="165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49" fontId="25" fillId="0" borderId="3" xfId="0" applyNumberFormat="1" applyFont="1" applyBorder="1" applyAlignment="1">
      <alignment horizontal="right" vertical="center"/>
    </xf>
    <xf numFmtId="0" fontId="28" fillId="3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29" fillId="0" borderId="19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0" fontId="6" fillId="6" borderId="8" xfId="0" applyFont="1" applyFill="1" applyBorder="1" applyAlignment="1">
      <alignment vertical="center" wrapText="1"/>
    </xf>
    <xf numFmtId="0" fontId="0" fillId="0" borderId="3" xfId="0" applyBorder="1"/>
    <xf numFmtId="0" fontId="5" fillId="2" borderId="3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17" fillId="7" borderId="3" xfId="0" applyFont="1" applyFill="1" applyBorder="1" applyAlignment="1">
      <alignment horizontal="center" wrapText="1"/>
    </xf>
    <xf numFmtId="0" fontId="17" fillId="8" borderId="3" xfId="0" applyFont="1" applyFill="1" applyBorder="1" applyAlignment="1">
      <alignment horizontal="center" wrapText="1"/>
    </xf>
    <xf numFmtId="0" fontId="17" fillId="9" borderId="3" xfId="0" applyFont="1" applyFill="1" applyBorder="1" applyAlignment="1">
      <alignment horizontal="center" wrapText="1"/>
    </xf>
    <xf numFmtId="0" fontId="17" fillId="10" borderId="3" xfId="0" applyFont="1" applyFill="1" applyBorder="1" applyAlignment="1">
      <alignment horizontal="center" wrapText="1"/>
    </xf>
    <xf numFmtId="0" fontId="17" fillId="11" borderId="3" xfId="0" applyFont="1" applyFill="1" applyBorder="1" applyAlignment="1">
      <alignment horizontal="center" wrapText="1"/>
    </xf>
    <xf numFmtId="0" fontId="17" fillId="12" borderId="3" xfId="0" applyFont="1" applyFill="1" applyBorder="1" applyAlignment="1">
      <alignment horizontal="center" wrapText="1"/>
    </xf>
    <xf numFmtId="0" fontId="17" fillId="13" borderId="3" xfId="0" applyFont="1" applyFill="1" applyBorder="1" applyAlignment="1">
      <alignment horizontal="center" wrapText="1"/>
    </xf>
    <xf numFmtId="0" fontId="17" fillId="2" borderId="3" xfId="0" applyFont="1" applyFill="1" applyBorder="1" applyAlignment="1">
      <alignment horizontal="right" wrapText="1"/>
    </xf>
    <xf numFmtId="0" fontId="20" fillId="14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wrapText="1"/>
    </xf>
    <xf numFmtId="0" fontId="5" fillId="7" borderId="3" xfId="0" applyFont="1" applyFill="1" applyBorder="1" applyAlignment="1">
      <alignment horizontal="center" wrapText="1"/>
    </xf>
    <xf numFmtId="0" fontId="5" fillId="8" borderId="3" xfId="0" applyFont="1" applyFill="1" applyBorder="1" applyAlignment="1">
      <alignment wrapText="1"/>
    </xf>
    <xf numFmtId="0" fontId="5" fillId="8" borderId="3" xfId="0" applyFont="1" applyFill="1" applyBorder="1" applyAlignment="1">
      <alignment horizontal="center" wrapText="1"/>
    </xf>
    <xf numFmtId="0" fontId="5" fillId="9" borderId="3" xfId="0" applyFont="1" applyFill="1" applyBorder="1" applyAlignment="1">
      <alignment wrapText="1"/>
    </xf>
    <xf numFmtId="0" fontId="5" fillId="9" borderId="3" xfId="0" applyFont="1" applyFill="1" applyBorder="1" applyAlignment="1">
      <alignment horizontal="center" wrapText="1"/>
    </xf>
    <xf numFmtId="0" fontId="5" fillId="10" borderId="3" xfId="0" applyFont="1" applyFill="1" applyBorder="1" applyAlignment="1">
      <alignment wrapText="1"/>
    </xf>
    <xf numFmtId="0" fontId="5" fillId="10" borderId="3" xfId="0" applyFont="1" applyFill="1" applyBorder="1" applyAlignment="1">
      <alignment horizontal="center" wrapText="1"/>
    </xf>
    <xf numFmtId="0" fontId="5" fillId="11" borderId="3" xfId="0" applyFont="1" applyFill="1" applyBorder="1" applyAlignment="1">
      <alignment wrapText="1"/>
    </xf>
    <xf numFmtId="0" fontId="5" fillId="11" borderId="3" xfId="0" applyFont="1" applyFill="1" applyBorder="1" applyAlignment="1">
      <alignment horizontal="center" wrapText="1"/>
    </xf>
    <xf numFmtId="0" fontId="5" fillId="12" borderId="3" xfId="0" applyFont="1" applyFill="1" applyBorder="1" applyAlignment="1">
      <alignment wrapText="1"/>
    </xf>
    <xf numFmtId="0" fontId="5" fillId="12" borderId="3" xfId="0" applyFont="1" applyFill="1" applyBorder="1" applyAlignment="1">
      <alignment horizontal="center" wrapText="1"/>
    </xf>
    <xf numFmtId="0" fontId="5" fillId="13" borderId="3" xfId="0" applyFont="1" applyFill="1" applyBorder="1" applyAlignment="1">
      <alignment wrapText="1"/>
    </xf>
    <xf numFmtId="0" fontId="5" fillId="13" borderId="3" xfId="0" applyFont="1" applyFill="1" applyBorder="1" applyAlignment="1">
      <alignment horizontal="center" wrapText="1"/>
    </xf>
    <xf numFmtId="0" fontId="27" fillId="16" borderId="5" xfId="0" applyFont="1" applyFill="1" applyBorder="1" applyAlignment="1">
      <alignment horizontal="right" vertical="center"/>
    </xf>
    <xf numFmtId="0" fontId="27" fillId="16" borderId="18" xfId="0" applyFont="1" applyFill="1" applyBorder="1" applyAlignment="1">
      <alignment horizontal="right" vertical="center"/>
    </xf>
    <xf numFmtId="0" fontId="27" fillId="16" borderId="4" xfId="0" applyFont="1" applyFill="1" applyBorder="1" applyAlignment="1">
      <alignment horizontal="right" vertical="center"/>
    </xf>
    <xf numFmtId="0" fontId="27" fillId="16" borderId="21" xfId="0" applyFont="1" applyFill="1" applyBorder="1" applyAlignment="1">
      <alignment horizontal="right" vertical="center"/>
    </xf>
    <xf numFmtId="0" fontId="27" fillId="16" borderId="22" xfId="0" applyFont="1" applyFill="1" applyBorder="1" applyAlignment="1">
      <alignment horizontal="right" vertical="center"/>
    </xf>
    <xf numFmtId="0" fontId="27" fillId="16" borderId="26" xfId="0" applyFont="1" applyFill="1" applyBorder="1" applyAlignment="1">
      <alignment horizontal="right" vertical="center"/>
    </xf>
    <xf numFmtId="165" fontId="17" fillId="2" borderId="3" xfId="0" applyNumberFormat="1" applyFont="1" applyFill="1" applyBorder="1" applyAlignment="1">
      <alignment horizontal="center" wrapText="1"/>
    </xf>
    <xf numFmtId="165" fontId="17" fillId="7" borderId="3" xfId="0" applyNumberFormat="1" applyFont="1" applyFill="1" applyBorder="1" applyAlignment="1">
      <alignment horizontal="center" wrapText="1"/>
    </xf>
    <xf numFmtId="165" fontId="14" fillId="0" borderId="3" xfId="0" applyNumberFormat="1" applyFont="1" applyBorder="1" applyAlignment="1">
      <alignment horizontal="center" vertical="center"/>
    </xf>
    <xf numFmtId="165" fontId="17" fillId="8" borderId="3" xfId="0" applyNumberFormat="1" applyFont="1" applyFill="1" applyBorder="1" applyAlignment="1">
      <alignment horizontal="center" wrapText="1"/>
    </xf>
    <xf numFmtId="165" fontId="17" fillId="9" borderId="3" xfId="0" applyNumberFormat="1" applyFont="1" applyFill="1" applyBorder="1" applyAlignment="1">
      <alignment horizontal="center" wrapText="1"/>
    </xf>
    <xf numFmtId="165" fontId="17" fillId="10" borderId="3" xfId="0" applyNumberFormat="1" applyFont="1" applyFill="1" applyBorder="1" applyAlignment="1">
      <alignment horizontal="center" wrapText="1"/>
    </xf>
    <xf numFmtId="165" fontId="17" fillId="11" borderId="3" xfId="0" applyNumberFormat="1" applyFont="1" applyFill="1" applyBorder="1" applyAlignment="1">
      <alignment horizontal="center" wrapText="1"/>
    </xf>
    <xf numFmtId="165" fontId="17" fillId="12" borderId="3" xfId="0" applyNumberFormat="1" applyFont="1" applyFill="1" applyBorder="1" applyAlignment="1">
      <alignment horizontal="center" wrapText="1"/>
    </xf>
    <xf numFmtId="165" fontId="17" fillId="13" borderId="3" xfId="0" applyNumberFormat="1" applyFont="1" applyFill="1" applyBorder="1" applyAlignment="1">
      <alignment horizontal="center" wrapText="1"/>
    </xf>
    <xf numFmtId="165" fontId="18" fillId="0" borderId="3" xfId="0" applyNumberFormat="1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21" fillId="14" borderId="3" xfId="0" applyFont="1" applyFill="1" applyBorder="1" applyAlignment="1">
      <alignment horizontal="center"/>
    </xf>
    <xf numFmtId="0" fontId="17" fillId="10" borderId="5" xfId="0" applyFont="1" applyFill="1" applyBorder="1" applyAlignment="1">
      <alignment horizontal="center" wrapText="1"/>
    </xf>
    <xf numFmtId="0" fontId="17" fillId="10" borderId="18" xfId="0" applyFont="1" applyFill="1" applyBorder="1" applyAlignment="1">
      <alignment horizontal="center" wrapText="1"/>
    </xf>
    <xf numFmtId="0" fontId="17" fillId="10" borderId="4" xfId="0" applyFont="1" applyFill="1" applyBorder="1" applyAlignment="1">
      <alignment horizontal="center" wrapText="1"/>
    </xf>
    <xf numFmtId="0" fontId="17" fillId="2" borderId="5" xfId="0" applyFont="1" applyFill="1" applyBorder="1" applyAlignment="1">
      <alignment horizontal="center" wrapText="1"/>
    </xf>
    <xf numFmtId="0" fontId="17" fillId="2" borderId="18" xfId="0" applyFont="1" applyFill="1" applyBorder="1" applyAlignment="1">
      <alignment horizontal="center" wrapText="1"/>
    </xf>
    <xf numFmtId="0" fontId="17" fillId="2" borderId="4" xfId="0" applyFont="1" applyFill="1" applyBorder="1" applyAlignment="1">
      <alignment horizontal="center" wrapText="1"/>
    </xf>
    <xf numFmtId="0" fontId="9" fillId="20" borderId="5" xfId="0" applyFont="1" applyFill="1" applyBorder="1" applyAlignment="1">
      <alignment horizontal="center" vertical="center"/>
    </xf>
    <xf numFmtId="0" fontId="22" fillId="20" borderId="18" xfId="0" applyFont="1" applyFill="1" applyBorder="1" applyAlignment="1">
      <alignment horizontal="center" vertical="center"/>
    </xf>
    <xf numFmtId="0" fontId="22" fillId="20" borderId="4" xfId="0" applyFont="1" applyFill="1" applyBorder="1" applyAlignment="1">
      <alignment horizontal="center" vertical="center"/>
    </xf>
    <xf numFmtId="0" fontId="9" fillId="21" borderId="5" xfId="0" applyFont="1" applyFill="1" applyBorder="1" applyAlignment="1">
      <alignment horizontal="center" vertical="center"/>
    </xf>
    <xf numFmtId="0" fontId="22" fillId="21" borderId="18" xfId="0" applyFont="1" applyFill="1" applyBorder="1" applyAlignment="1">
      <alignment horizontal="center" vertical="center"/>
    </xf>
    <xf numFmtId="0" fontId="22" fillId="21" borderId="4" xfId="0" applyFont="1" applyFill="1" applyBorder="1" applyAlignment="1">
      <alignment horizontal="center" vertical="center"/>
    </xf>
    <xf numFmtId="0" fontId="9" fillId="22" borderId="5" xfId="0" applyFont="1" applyFill="1" applyBorder="1" applyAlignment="1">
      <alignment horizontal="center" vertical="center"/>
    </xf>
    <xf numFmtId="0" fontId="22" fillId="22" borderId="18" xfId="0" applyFont="1" applyFill="1" applyBorder="1" applyAlignment="1">
      <alignment horizontal="center" vertical="center"/>
    </xf>
    <xf numFmtId="0" fontId="22" fillId="22" borderId="4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2" fillId="11" borderId="18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horizontal="center" vertical="center"/>
    </xf>
    <xf numFmtId="0" fontId="22" fillId="23" borderId="18" xfId="0" applyFont="1" applyFill="1" applyBorder="1" applyAlignment="1">
      <alignment horizontal="center" vertical="center"/>
    </xf>
    <xf numFmtId="0" fontId="22" fillId="23" borderId="4" xfId="0" applyFont="1" applyFill="1" applyBorder="1" applyAlignment="1">
      <alignment horizontal="center" vertical="center"/>
    </xf>
    <xf numFmtId="0" fontId="22" fillId="25" borderId="5" xfId="0" applyFont="1" applyFill="1" applyBorder="1" applyAlignment="1">
      <alignment horizontal="center" vertical="center"/>
    </xf>
    <xf numFmtId="0" fontId="22" fillId="25" borderId="18" xfId="0" applyFont="1" applyFill="1" applyBorder="1" applyAlignment="1">
      <alignment horizontal="center" vertical="center"/>
    </xf>
    <xf numFmtId="0" fontId="22" fillId="25" borderId="4" xfId="0" applyFont="1" applyFill="1" applyBorder="1" applyAlignment="1">
      <alignment horizontal="center" vertical="center"/>
    </xf>
    <xf numFmtId="0" fontId="23" fillId="25" borderId="5" xfId="0" applyFont="1" applyFill="1" applyBorder="1" applyAlignment="1">
      <alignment horizontal="center" vertical="center"/>
    </xf>
    <xf numFmtId="0" fontId="23" fillId="25" borderId="18" xfId="0" applyFont="1" applyFill="1" applyBorder="1" applyAlignment="1">
      <alignment horizontal="center" vertical="center"/>
    </xf>
    <xf numFmtId="0" fontId="23" fillId="25" borderId="4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24" borderId="5" xfId="0" applyFont="1" applyFill="1" applyBorder="1" applyAlignment="1">
      <alignment horizontal="center" vertical="center"/>
    </xf>
    <xf numFmtId="0" fontId="22" fillId="24" borderId="18" xfId="0" applyFont="1" applyFill="1" applyBorder="1" applyAlignment="1">
      <alignment horizontal="center" vertical="center"/>
    </xf>
    <xf numFmtId="0" fontId="22" fillId="24" borderId="4" xfId="0" applyFont="1" applyFill="1" applyBorder="1" applyAlignment="1">
      <alignment horizontal="center" vertical="center"/>
    </xf>
    <xf numFmtId="0" fontId="9" fillId="25" borderId="23" xfId="0" applyFont="1" applyFill="1" applyBorder="1" applyAlignment="1">
      <alignment horizontal="center" vertical="center"/>
    </xf>
    <xf numFmtId="0" fontId="9" fillId="25" borderId="24" xfId="0" applyFont="1" applyFill="1" applyBorder="1" applyAlignment="1">
      <alignment horizontal="center" vertical="center"/>
    </xf>
    <xf numFmtId="0" fontId="9" fillId="25" borderId="25" xfId="0" applyFont="1" applyFill="1" applyBorder="1" applyAlignment="1">
      <alignment horizontal="center" vertical="center"/>
    </xf>
    <xf numFmtId="0" fontId="20" fillId="14" borderId="6" xfId="0" applyFont="1" applyFill="1" applyBorder="1" applyAlignment="1">
      <alignment horizontal="center" wrapText="1"/>
    </xf>
    <xf numFmtId="0" fontId="30" fillId="0" borderId="0" xfId="0" applyFont="1"/>
    <xf numFmtId="0" fontId="3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D8D8D8"/>
      <rgbColor rgb="FFADD8E6"/>
      <rgbColor rgb="FFF4A9A8"/>
      <rgbColor rgb="FFCDB5E8"/>
      <rgbColor rgb="FFD2B48C"/>
      <rgbColor rgb="FF3366FF"/>
      <rgbColor rgb="FF64C4C4"/>
      <rgbColor rgb="FF99CC00"/>
      <rgbColor rgb="FFFFC000"/>
      <rgbColor rgb="FFFF9900"/>
      <rgbColor rgb="FFFF6600"/>
      <rgbColor rgb="FF555555"/>
      <rgbColor rgb="FF969696"/>
      <rgbColor rgb="FF003366"/>
      <rgbColor rgb="FF339966"/>
      <rgbColor rgb="FF0D0F12"/>
      <rgbColor rgb="FF0D0D0D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FC8F-3325-4EB7-A0D6-19BC6F4139D9}">
  <dimension ref="A1:A46"/>
  <sheetViews>
    <sheetView tabSelected="1" zoomScaleNormal="100" workbookViewId="0">
      <selection activeCell="A14" sqref="A14"/>
    </sheetView>
  </sheetViews>
  <sheetFormatPr defaultRowHeight="15"/>
  <cols>
    <col min="1" max="1" width="255.7109375" bestFit="1" customWidth="1"/>
  </cols>
  <sheetData>
    <row r="1" spans="1:1" ht="26.25">
      <c r="A1" s="186" t="s">
        <v>344</v>
      </c>
    </row>
    <row r="3" spans="1:1" ht="17.25">
      <c r="A3" s="187" t="s">
        <v>345</v>
      </c>
    </row>
    <row r="4" spans="1:1">
      <c r="A4" t="s">
        <v>368</v>
      </c>
    </row>
    <row r="5" spans="1:1">
      <c r="A5" t="s">
        <v>346</v>
      </c>
    </row>
    <row r="6" spans="1:1">
      <c r="A6" t="s">
        <v>347</v>
      </c>
    </row>
    <row r="7" spans="1:1">
      <c r="A7" t="s">
        <v>348</v>
      </c>
    </row>
    <row r="8" spans="1:1">
      <c r="A8" t="s">
        <v>349</v>
      </c>
    </row>
    <row r="9" spans="1:1">
      <c r="A9" t="s">
        <v>350</v>
      </c>
    </row>
    <row r="10" spans="1:1">
      <c r="A10" t="s">
        <v>351</v>
      </c>
    </row>
    <row r="11" spans="1:1">
      <c r="A11" t="s">
        <v>352</v>
      </c>
    </row>
    <row r="12" spans="1:1">
      <c r="A12" t="s">
        <v>353</v>
      </c>
    </row>
    <row r="13" spans="1:1">
      <c r="A13" t="s">
        <v>354</v>
      </c>
    </row>
    <row r="14" spans="1:1">
      <c r="A14" t="s">
        <v>355</v>
      </c>
    </row>
    <row r="16" spans="1:1" ht="17.25">
      <c r="A16" s="187" t="s">
        <v>356</v>
      </c>
    </row>
    <row r="17" spans="1:1">
      <c r="A17" t="s">
        <v>369</v>
      </c>
    </row>
    <row r="18" spans="1:1">
      <c r="A18" t="s">
        <v>370</v>
      </c>
    </row>
    <row r="19" spans="1:1">
      <c r="A19" t="s">
        <v>371</v>
      </c>
    </row>
    <row r="20" spans="1:1">
      <c r="A20" t="s">
        <v>372</v>
      </c>
    </row>
    <row r="22" spans="1:1" ht="17.25">
      <c r="A22" s="187" t="s">
        <v>357</v>
      </c>
    </row>
    <row r="23" spans="1:1">
      <c r="A23" t="s">
        <v>373</v>
      </c>
    </row>
    <row r="24" spans="1:1">
      <c r="A24" t="s">
        <v>374</v>
      </c>
    </row>
    <row r="25" spans="1:1">
      <c r="A25" t="s">
        <v>375</v>
      </c>
    </row>
    <row r="26" spans="1:1">
      <c r="A26" t="s">
        <v>376</v>
      </c>
    </row>
    <row r="27" spans="1:1">
      <c r="A27" t="s">
        <v>377</v>
      </c>
    </row>
    <row r="29" spans="1:1" ht="17.25">
      <c r="A29" s="187" t="s">
        <v>358</v>
      </c>
    </row>
    <row r="30" spans="1:1">
      <c r="A30" t="s">
        <v>378</v>
      </c>
    </row>
    <row r="31" spans="1:1">
      <c r="A31" t="s">
        <v>359</v>
      </c>
    </row>
    <row r="32" spans="1:1">
      <c r="A32" t="s">
        <v>360</v>
      </c>
    </row>
    <row r="33" spans="1:1">
      <c r="A33" t="s">
        <v>361</v>
      </c>
    </row>
    <row r="35" spans="1:1">
      <c r="A35" t="s">
        <v>379</v>
      </c>
    </row>
    <row r="36" spans="1:1">
      <c r="A36" t="s">
        <v>362</v>
      </c>
    </row>
    <row r="37" spans="1:1">
      <c r="A37" t="s">
        <v>363</v>
      </c>
    </row>
    <row r="38" spans="1:1">
      <c r="A38" t="s">
        <v>364</v>
      </c>
    </row>
    <row r="40" spans="1:1">
      <c r="A40" t="s">
        <v>365</v>
      </c>
    </row>
    <row r="41" spans="1:1">
      <c r="A41" t="s">
        <v>366</v>
      </c>
    </row>
    <row r="42" spans="1:1">
      <c r="A42" t="s">
        <v>380</v>
      </c>
    </row>
    <row r="43" spans="1:1">
      <c r="A43" t="s">
        <v>381</v>
      </c>
    </row>
    <row r="45" spans="1:1" ht="17.25">
      <c r="A45" s="187" t="s">
        <v>367</v>
      </c>
    </row>
    <row r="46" spans="1:1" ht="30">
      <c r="A46" s="188" t="s">
        <v>382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zoomScaleNormal="100" workbookViewId="0">
      <pane ySplit="1" topLeftCell="A2" activePane="bottomLeft" state="frozen"/>
      <selection pane="bottomLeft" activeCell="I5" sqref="I5"/>
    </sheetView>
  </sheetViews>
  <sheetFormatPr defaultColWidth="8.7109375" defaultRowHeight="15"/>
  <cols>
    <col min="1" max="1" width="9.85546875" bestFit="1" customWidth="1"/>
    <col min="2" max="2" width="16.85546875" bestFit="1" customWidth="1"/>
    <col min="3" max="3" width="33" bestFit="1" customWidth="1"/>
    <col min="4" max="4" width="11.7109375" bestFit="1" customWidth="1"/>
    <col min="5" max="5" width="10.5703125" bestFit="1" customWidth="1"/>
    <col min="6" max="6" width="10.85546875" bestFit="1" customWidth="1"/>
    <col min="7" max="7" width="18.85546875" bestFit="1" customWidth="1"/>
    <col min="8" max="8" width="19.85546875" bestFit="1" customWidth="1"/>
    <col min="9" max="9" width="16.85546875" bestFit="1" customWidth="1"/>
  </cols>
  <sheetData>
    <row r="1" spans="1:9" ht="25.5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1</v>
      </c>
    </row>
    <row r="2" spans="1:9">
      <c r="A2" s="77">
        <v>1</v>
      </c>
      <c r="B2" s="77" t="s">
        <v>8</v>
      </c>
      <c r="C2" s="77" t="s">
        <v>9</v>
      </c>
      <c r="D2" s="77" t="s">
        <v>10</v>
      </c>
      <c r="E2" s="77" t="s">
        <v>11</v>
      </c>
      <c r="F2" s="77" t="s">
        <v>12</v>
      </c>
      <c r="G2" s="77">
        <v>8</v>
      </c>
      <c r="H2" s="77" t="s">
        <v>13</v>
      </c>
      <c r="I2" s="77" t="s">
        <v>8</v>
      </c>
    </row>
    <row r="3" spans="1:9">
      <c r="A3" s="77">
        <v>1</v>
      </c>
      <c r="B3" s="77" t="s">
        <v>8</v>
      </c>
      <c r="C3" s="77" t="s">
        <v>14</v>
      </c>
      <c r="D3" s="77" t="s">
        <v>10</v>
      </c>
      <c r="E3" s="77" t="s">
        <v>11</v>
      </c>
      <c r="F3" s="77" t="s">
        <v>12</v>
      </c>
      <c r="G3" s="77">
        <v>8</v>
      </c>
      <c r="H3" s="77" t="s">
        <v>13</v>
      </c>
      <c r="I3" s="77" t="s">
        <v>8</v>
      </c>
    </row>
    <row r="4" spans="1:9">
      <c r="A4" s="77">
        <v>1</v>
      </c>
      <c r="B4" s="77" t="s">
        <v>8</v>
      </c>
      <c r="C4" s="77" t="s">
        <v>15</v>
      </c>
      <c r="D4" s="77" t="s">
        <v>10</v>
      </c>
      <c r="E4" s="77" t="s">
        <v>11</v>
      </c>
      <c r="F4" s="77" t="s">
        <v>12</v>
      </c>
      <c r="G4" s="77">
        <v>8</v>
      </c>
      <c r="H4" s="77" t="s">
        <v>13</v>
      </c>
      <c r="I4" s="77" t="s">
        <v>8</v>
      </c>
    </row>
    <row r="5" spans="1:9">
      <c r="A5" s="78">
        <v>2</v>
      </c>
      <c r="B5" s="78" t="s">
        <v>16</v>
      </c>
      <c r="C5" s="78" t="s">
        <v>17</v>
      </c>
      <c r="D5" s="78" t="s">
        <v>10</v>
      </c>
      <c r="E5" s="78" t="s">
        <v>11</v>
      </c>
      <c r="F5" s="78" t="s">
        <v>12</v>
      </c>
      <c r="G5" s="78">
        <v>8</v>
      </c>
      <c r="H5" s="78" t="s">
        <v>13</v>
      </c>
      <c r="I5" s="78" t="s">
        <v>16</v>
      </c>
    </row>
    <row r="6" spans="1:9">
      <c r="A6" s="78">
        <v>2</v>
      </c>
      <c r="B6" s="78" t="s">
        <v>16</v>
      </c>
      <c r="C6" s="78" t="s">
        <v>18</v>
      </c>
      <c r="D6" s="78" t="s">
        <v>10</v>
      </c>
      <c r="E6" s="78" t="s">
        <v>11</v>
      </c>
      <c r="F6" s="78" t="s">
        <v>12</v>
      </c>
      <c r="G6" s="78">
        <v>8</v>
      </c>
      <c r="H6" s="78" t="s">
        <v>13</v>
      </c>
      <c r="I6" s="78" t="s">
        <v>16</v>
      </c>
    </row>
    <row r="7" spans="1:9">
      <c r="A7" s="79">
        <v>3</v>
      </c>
      <c r="B7" s="79" t="s">
        <v>19</v>
      </c>
      <c r="C7" s="79" t="s">
        <v>20</v>
      </c>
      <c r="D7" s="79" t="s">
        <v>10</v>
      </c>
      <c r="E7" s="79" t="s">
        <v>11</v>
      </c>
      <c r="F7" s="79" t="s">
        <v>12</v>
      </c>
      <c r="G7" s="79">
        <v>8</v>
      </c>
      <c r="H7" s="79" t="s">
        <v>13</v>
      </c>
      <c r="I7" s="79" t="s">
        <v>19</v>
      </c>
    </row>
    <row r="8" spans="1:9">
      <c r="A8" s="79">
        <v>3</v>
      </c>
      <c r="B8" s="79" t="s">
        <v>19</v>
      </c>
      <c r="C8" s="79" t="s">
        <v>21</v>
      </c>
      <c r="D8" s="79" t="s">
        <v>10</v>
      </c>
      <c r="E8" s="79" t="s">
        <v>11</v>
      </c>
      <c r="F8" s="79" t="s">
        <v>12</v>
      </c>
      <c r="G8" s="79">
        <v>8</v>
      </c>
      <c r="H8" s="79" t="s">
        <v>13</v>
      </c>
      <c r="I8" s="79" t="s">
        <v>19</v>
      </c>
    </row>
    <row r="9" spans="1:9">
      <c r="A9" s="80">
        <v>4</v>
      </c>
      <c r="B9" s="80" t="s">
        <v>22</v>
      </c>
      <c r="C9" s="80" t="s">
        <v>23</v>
      </c>
      <c r="D9" s="80" t="s">
        <v>10</v>
      </c>
      <c r="E9" s="80" t="s">
        <v>11</v>
      </c>
      <c r="F9" s="80" t="s">
        <v>12</v>
      </c>
      <c r="G9" s="80">
        <v>8</v>
      </c>
      <c r="H9" s="80" t="s">
        <v>13</v>
      </c>
      <c r="I9" s="80" t="s">
        <v>22</v>
      </c>
    </row>
    <row r="10" spans="1:9">
      <c r="A10" s="80">
        <v>4</v>
      </c>
      <c r="B10" s="80" t="s">
        <v>22</v>
      </c>
      <c r="C10" s="80" t="s">
        <v>24</v>
      </c>
      <c r="D10" s="80" t="s">
        <v>10</v>
      </c>
      <c r="E10" s="80" t="s">
        <v>11</v>
      </c>
      <c r="F10" s="80" t="s">
        <v>12</v>
      </c>
      <c r="G10" s="80">
        <v>8</v>
      </c>
      <c r="H10" s="80" t="s">
        <v>13</v>
      </c>
      <c r="I10" s="80" t="s">
        <v>22</v>
      </c>
    </row>
    <row r="11" spans="1:9">
      <c r="A11" s="81">
        <v>5</v>
      </c>
      <c r="B11" s="81" t="s">
        <v>25</v>
      </c>
      <c r="C11" s="81" t="s">
        <v>26</v>
      </c>
      <c r="D11" s="81" t="s">
        <v>27</v>
      </c>
      <c r="E11" s="81" t="s">
        <v>28</v>
      </c>
      <c r="F11" s="81" t="s">
        <v>29</v>
      </c>
      <c r="G11" s="81">
        <v>8</v>
      </c>
      <c r="H11" s="81" t="s">
        <v>30</v>
      </c>
      <c r="I11" s="81" t="s">
        <v>25</v>
      </c>
    </row>
    <row r="12" spans="1:9">
      <c r="A12" s="81">
        <v>5</v>
      </c>
      <c r="B12" s="81" t="s">
        <v>25</v>
      </c>
      <c r="C12" s="81" t="s">
        <v>31</v>
      </c>
      <c r="D12" s="81" t="s">
        <v>27</v>
      </c>
      <c r="E12" s="81" t="s">
        <v>28</v>
      </c>
      <c r="F12" s="81" t="s">
        <v>29</v>
      </c>
      <c r="G12" s="81">
        <v>8</v>
      </c>
      <c r="H12" s="81" t="s">
        <v>30</v>
      </c>
      <c r="I12" s="81" t="s">
        <v>25</v>
      </c>
    </row>
    <row r="13" spans="1:9">
      <c r="A13" s="81">
        <v>5</v>
      </c>
      <c r="B13" s="81" t="s">
        <v>25</v>
      </c>
      <c r="C13" s="81" t="s">
        <v>32</v>
      </c>
      <c r="D13" s="81" t="s">
        <v>27</v>
      </c>
      <c r="E13" s="81" t="s">
        <v>28</v>
      </c>
      <c r="F13" s="81" t="s">
        <v>29</v>
      </c>
      <c r="G13" s="81">
        <v>8</v>
      </c>
      <c r="H13" s="81" t="s">
        <v>30</v>
      </c>
      <c r="I13" s="81" t="s">
        <v>25</v>
      </c>
    </row>
    <row r="14" spans="1:9">
      <c r="A14" s="81">
        <v>5</v>
      </c>
      <c r="B14" s="81" t="s">
        <v>25</v>
      </c>
      <c r="C14" s="81" t="s">
        <v>33</v>
      </c>
      <c r="D14" s="81" t="s">
        <v>27</v>
      </c>
      <c r="E14" s="81" t="s">
        <v>28</v>
      </c>
      <c r="F14" s="81" t="s">
        <v>29</v>
      </c>
      <c r="G14" s="81">
        <v>8</v>
      </c>
      <c r="H14" s="81" t="s">
        <v>30</v>
      </c>
      <c r="I14" s="81" t="s">
        <v>25</v>
      </c>
    </row>
    <row r="15" spans="1:9">
      <c r="A15" s="81">
        <v>5</v>
      </c>
      <c r="B15" s="81" t="s">
        <v>25</v>
      </c>
      <c r="C15" s="81" t="s">
        <v>34</v>
      </c>
      <c r="D15" s="81" t="s">
        <v>27</v>
      </c>
      <c r="E15" s="81" t="s">
        <v>28</v>
      </c>
      <c r="F15" s="81" t="s">
        <v>29</v>
      </c>
      <c r="G15" s="81">
        <v>8</v>
      </c>
      <c r="H15" s="81" t="s">
        <v>30</v>
      </c>
      <c r="I15" s="81" t="s">
        <v>25</v>
      </c>
    </row>
    <row r="16" spans="1:9">
      <c r="A16" s="81">
        <v>5</v>
      </c>
      <c r="B16" s="81" t="s">
        <v>25</v>
      </c>
      <c r="C16" s="81" t="s">
        <v>35</v>
      </c>
      <c r="D16" s="81" t="s">
        <v>27</v>
      </c>
      <c r="E16" s="81" t="s">
        <v>28</v>
      </c>
      <c r="F16" s="81" t="s">
        <v>29</v>
      </c>
      <c r="G16" s="81">
        <v>8</v>
      </c>
      <c r="H16" s="81" t="s">
        <v>30</v>
      </c>
      <c r="I16" s="81" t="s">
        <v>25</v>
      </c>
    </row>
    <row r="17" spans="1:9">
      <c r="A17" s="82">
        <v>6</v>
      </c>
      <c r="B17" s="82" t="s">
        <v>36</v>
      </c>
      <c r="C17" s="82" t="s">
        <v>37</v>
      </c>
      <c r="D17" s="82" t="s">
        <v>10</v>
      </c>
      <c r="E17" s="82" t="s">
        <v>11</v>
      </c>
      <c r="F17" s="82" t="s">
        <v>12</v>
      </c>
      <c r="G17" s="82">
        <v>8</v>
      </c>
      <c r="H17" s="82" t="s">
        <v>13</v>
      </c>
      <c r="I17" s="82" t="s">
        <v>36</v>
      </c>
    </row>
    <row r="18" spans="1:9">
      <c r="A18" s="82">
        <v>6</v>
      </c>
      <c r="B18" s="82" t="s">
        <v>36</v>
      </c>
      <c r="C18" s="82" t="s">
        <v>38</v>
      </c>
      <c r="D18" s="82" t="s">
        <v>27</v>
      </c>
      <c r="E18" s="82" t="s">
        <v>28</v>
      </c>
      <c r="F18" s="82" t="s">
        <v>29</v>
      </c>
      <c r="G18" s="82">
        <v>8</v>
      </c>
      <c r="H18" s="82" t="s">
        <v>30</v>
      </c>
      <c r="I18" s="82" t="s">
        <v>36</v>
      </c>
    </row>
    <row r="19" spans="1:9">
      <c r="A19" s="83">
        <v>7</v>
      </c>
      <c r="B19" s="83" t="s">
        <v>39</v>
      </c>
      <c r="C19" s="83" t="s">
        <v>40</v>
      </c>
      <c r="D19" s="83" t="s">
        <v>27</v>
      </c>
      <c r="E19" s="83" t="s">
        <v>28</v>
      </c>
      <c r="F19" s="83" t="s">
        <v>29</v>
      </c>
      <c r="G19" s="83">
        <v>8</v>
      </c>
      <c r="H19" s="83" t="s">
        <v>30</v>
      </c>
      <c r="I19" s="83" t="s">
        <v>39</v>
      </c>
    </row>
    <row r="20" spans="1:9">
      <c r="A20" s="83">
        <v>7</v>
      </c>
      <c r="B20" s="83" t="s">
        <v>39</v>
      </c>
      <c r="C20" s="83" t="s">
        <v>41</v>
      </c>
      <c r="D20" s="83" t="s">
        <v>27</v>
      </c>
      <c r="E20" s="83" t="s">
        <v>28</v>
      </c>
      <c r="F20" s="83" t="s">
        <v>29</v>
      </c>
      <c r="G20" s="83">
        <v>8</v>
      </c>
      <c r="H20" s="83" t="s">
        <v>30</v>
      </c>
      <c r="I20" s="83" t="s">
        <v>39</v>
      </c>
    </row>
    <row r="21" spans="1:9">
      <c r="A21" s="84">
        <v>8</v>
      </c>
      <c r="B21" s="84" t="s">
        <v>42</v>
      </c>
      <c r="C21" s="84" t="s">
        <v>43</v>
      </c>
      <c r="D21" s="84" t="s">
        <v>10</v>
      </c>
      <c r="E21" s="84" t="s">
        <v>11</v>
      </c>
      <c r="F21" s="84" t="s">
        <v>12</v>
      </c>
      <c r="G21" s="84">
        <v>8</v>
      </c>
      <c r="H21" s="84" t="s">
        <v>13</v>
      </c>
      <c r="I21" s="84" t="s">
        <v>42</v>
      </c>
    </row>
    <row r="22" spans="1:9">
      <c r="A22" s="84">
        <v>8</v>
      </c>
      <c r="B22" s="84" t="s">
        <v>42</v>
      </c>
      <c r="C22" s="84" t="s">
        <v>44</v>
      </c>
      <c r="D22" s="84" t="s">
        <v>27</v>
      </c>
      <c r="E22" s="84" t="s">
        <v>28</v>
      </c>
      <c r="F22" s="84" t="s">
        <v>29</v>
      </c>
      <c r="G22" s="84">
        <v>8</v>
      </c>
      <c r="H22" s="84" t="s">
        <v>30</v>
      </c>
      <c r="I22" s="84" t="s">
        <v>42</v>
      </c>
    </row>
    <row r="23" spans="1:9">
      <c r="A23" s="84">
        <v>8</v>
      </c>
      <c r="B23" s="84" t="s">
        <v>42</v>
      </c>
      <c r="C23" s="84" t="s">
        <v>45</v>
      </c>
      <c r="D23" s="84" t="s">
        <v>27</v>
      </c>
      <c r="E23" s="84" t="s">
        <v>28</v>
      </c>
      <c r="F23" s="84" t="s">
        <v>29</v>
      </c>
      <c r="G23" s="84">
        <v>8</v>
      </c>
      <c r="H23" s="84" t="s">
        <v>30</v>
      </c>
      <c r="I23" s="84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"/>
  <sheetViews>
    <sheetView zoomScaleNormal="100" workbookViewId="0">
      <pane ySplit="1" topLeftCell="A8" activePane="bottomLeft" state="frozen"/>
      <selection pane="bottomLeft" activeCell="E66" sqref="E66"/>
    </sheetView>
  </sheetViews>
  <sheetFormatPr defaultColWidth="8.7109375" defaultRowHeight="15"/>
  <cols>
    <col min="1" max="1" width="12" customWidth="1"/>
    <col min="2" max="2" width="20" customWidth="1"/>
    <col min="3" max="3" width="30" customWidth="1"/>
    <col min="4" max="4" width="16" customWidth="1"/>
    <col min="5" max="5" width="13" customWidth="1"/>
    <col min="6" max="7" width="10" customWidth="1"/>
    <col min="8" max="8" width="11" style="8" customWidth="1"/>
    <col min="9" max="9" width="10" customWidth="1"/>
    <col min="10" max="10" width="14" style="89" customWidth="1"/>
    <col min="11" max="11" width="9" customWidth="1"/>
  </cols>
  <sheetData>
    <row r="1" spans="1:11" ht="25.5" customHeight="1">
      <c r="A1" s="1" t="s">
        <v>46</v>
      </c>
      <c r="B1" s="1" t="s">
        <v>47</v>
      </c>
      <c r="C1" s="1" t="s">
        <v>48</v>
      </c>
      <c r="D1" s="1" t="s">
        <v>49</v>
      </c>
      <c r="E1" s="1" t="s">
        <v>3</v>
      </c>
      <c r="F1" s="1" t="s">
        <v>4</v>
      </c>
      <c r="G1" s="1" t="s">
        <v>5</v>
      </c>
      <c r="H1" s="1" t="s">
        <v>50</v>
      </c>
      <c r="I1" s="1" t="s">
        <v>51</v>
      </c>
      <c r="J1" s="86" t="s">
        <v>52</v>
      </c>
      <c r="K1" s="1" t="s">
        <v>53</v>
      </c>
    </row>
    <row r="2" spans="1:11" ht="15" customHeight="1">
      <c r="A2" s="75" t="s">
        <v>54</v>
      </c>
      <c r="B2" s="75" t="s">
        <v>55</v>
      </c>
      <c r="C2" s="75" t="s">
        <v>9</v>
      </c>
      <c r="D2" s="75" t="s">
        <v>8</v>
      </c>
      <c r="E2" s="75" t="s">
        <v>10</v>
      </c>
      <c r="F2" s="75" t="s">
        <v>11</v>
      </c>
      <c r="G2" s="75" t="s">
        <v>12</v>
      </c>
      <c r="H2" s="90" t="s">
        <v>13</v>
      </c>
      <c r="I2" s="75" t="s">
        <v>56</v>
      </c>
      <c r="J2" s="87">
        <v>44635</v>
      </c>
      <c r="K2" s="75" t="s">
        <v>57</v>
      </c>
    </row>
    <row r="3" spans="1:11" ht="15" customHeight="1">
      <c r="A3" s="75" t="s">
        <v>58</v>
      </c>
      <c r="B3" s="75" t="s">
        <v>59</v>
      </c>
      <c r="C3" s="75" t="s">
        <v>14</v>
      </c>
      <c r="D3" s="75" t="s">
        <v>8</v>
      </c>
      <c r="E3" s="75" t="s">
        <v>10</v>
      </c>
      <c r="F3" s="75" t="s">
        <v>11</v>
      </c>
      <c r="G3" s="75" t="s">
        <v>12</v>
      </c>
      <c r="H3" s="90" t="s">
        <v>13</v>
      </c>
      <c r="I3" s="75" t="s">
        <v>56</v>
      </c>
      <c r="J3" s="87">
        <v>45056</v>
      </c>
      <c r="K3" s="75" t="s">
        <v>57</v>
      </c>
    </row>
    <row r="4" spans="1:11" ht="15" customHeight="1">
      <c r="A4" s="75" t="s">
        <v>60</v>
      </c>
      <c r="B4" s="75" t="s">
        <v>61</v>
      </c>
      <c r="C4" s="75" t="s">
        <v>14</v>
      </c>
      <c r="D4" s="75" t="s">
        <v>8</v>
      </c>
      <c r="E4" s="75" t="s">
        <v>10</v>
      </c>
      <c r="F4" s="75" t="s">
        <v>11</v>
      </c>
      <c r="G4" s="75" t="s">
        <v>12</v>
      </c>
      <c r="H4" s="90" t="s">
        <v>13</v>
      </c>
      <c r="I4" s="75" t="s">
        <v>56</v>
      </c>
      <c r="J4" s="87">
        <v>44946</v>
      </c>
      <c r="K4" s="75" t="s">
        <v>57</v>
      </c>
    </row>
    <row r="5" spans="1:11" ht="15" customHeight="1">
      <c r="A5" s="75" t="s">
        <v>62</v>
      </c>
      <c r="B5" s="75" t="s">
        <v>63</v>
      </c>
      <c r="C5" s="75" t="s">
        <v>14</v>
      </c>
      <c r="D5" s="75" t="s">
        <v>8</v>
      </c>
      <c r="E5" s="75" t="s">
        <v>10</v>
      </c>
      <c r="F5" s="75" t="s">
        <v>11</v>
      </c>
      <c r="G5" s="75" t="s">
        <v>12</v>
      </c>
      <c r="H5" s="90" t="s">
        <v>13</v>
      </c>
      <c r="I5" s="75" t="s">
        <v>56</v>
      </c>
      <c r="J5" s="87">
        <v>44635</v>
      </c>
      <c r="K5" s="75" t="s">
        <v>57</v>
      </c>
    </row>
    <row r="6" spans="1:11" ht="15" customHeight="1">
      <c r="A6" s="75" t="s">
        <v>64</v>
      </c>
      <c r="B6" s="75" t="s">
        <v>65</v>
      </c>
      <c r="C6" s="75" t="s">
        <v>15</v>
      </c>
      <c r="D6" s="75" t="s">
        <v>8</v>
      </c>
      <c r="E6" s="75" t="s">
        <v>10</v>
      </c>
      <c r="F6" s="75" t="s">
        <v>11</v>
      </c>
      <c r="G6" s="75" t="s">
        <v>12</v>
      </c>
      <c r="H6" s="90" t="s">
        <v>13</v>
      </c>
      <c r="I6" s="75" t="s">
        <v>66</v>
      </c>
      <c r="J6" s="87">
        <v>45828</v>
      </c>
      <c r="K6" s="75" t="s">
        <v>57</v>
      </c>
    </row>
    <row r="7" spans="1:11" ht="15" customHeight="1">
      <c r="A7" s="75" t="s">
        <v>67</v>
      </c>
      <c r="B7" s="75" t="s">
        <v>68</v>
      </c>
      <c r="C7" s="75" t="s">
        <v>15</v>
      </c>
      <c r="D7" s="75" t="s">
        <v>8</v>
      </c>
      <c r="E7" s="75" t="s">
        <v>10</v>
      </c>
      <c r="F7" s="75" t="s">
        <v>11</v>
      </c>
      <c r="G7" s="75" t="s">
        <v>12</v>
      </c>
      <c r="H7" s="90" t="s">
        <v>13</v>
      </c>
      <c r="I7" s="75" t="s">
        <v>56</v>
      </c>
      <c r="J7" s="87">
        <v>44571</v>
      </c>
      <c r="K7" s="75" t="s">
        <v>57</v>
      </c>
    </row>
    <row r="8" spans="1:11" ht="15" customHeight="1">
      <c r="A8" s="75" t="s">
        <v>69</v>
      </c>
      <c r="B8" s="75" t="s">
        <v>70</v>
      </c>
      <c r="C8" s="75" t="s">
        <v>15</v>
      </c>
      <c r="D8" s="75" t="s">
        <v>8</v>
      </c>
      <c r="E8" s="75" t="s">
        <v>10</v>
      </c>
      <c r="F8" s="75" t="s">
        <v>11</v>
      </c>
      <c r="G8" s="75" t="s">
        <v>12</v>
      </c>
      <c r="H8" s="90" t="s">
        <v>13</v>
      </c>
      <c r="I8" s="75" t="s">
        <v>56</v>
      </c>
      <c r="J8" s="87">
        <v>44635</v>
      </c>
      <c r="K8" s="75" t="s">
        <v>57</v>
      </c>
    </row>
    <row r="9" spans="1:11" ht="15" customHeight="1">
      <c r="A9" s="75" t="s">
        <v>71</v>
      </c>
      <c r="B9" s="75" t="s">
        <v>72</v>
      </c>
      <c r="C9" s="75" t="s">
        <v>17</v>
      </c>
      <c r="D9" s="75" t="s">
        <v>16</v>
      </c>
      <c r="E9" s="75" t="s">
        <v>10</v>
      </c>
      <c r="F9" s="75" t="s">
        <v>11</v>
      </c>
      <c r="G9" s="75" t="s">
        <v>12</v>
      </c>
      <c r="H9" s="90" t="s">
        <v>13</v>
      </c>
      <c r="I9" s="75" t="s">
        <v>56</v>
      </c>
      <c r="J9" s="87">
        <v>44946</v>
      </c>
      <c r="K9" s="75" t="s">
        <v>57</v>
      </c>
    </row>
    <row r="10" spans="1:11" ht="15" customHeight="1">
      <c r="A10" s="75" t="s">
        <v>73</v>
      </c>
      <c r="B10" s="75" t="s">
        <v>74</v>
      </c>
      <c r="C10" s="75" t="s">
        <v>18</v>
      </c>
      <c r="D10" s="75" t="s">
        <v>16</v>
      </c>
      <c r="E10" s="75" t="s">
        <v>10</v>
      </c>
      <c r="F10" s="75" t="s">
        <v>11</v>
      </c>
      <c r="G10" s="75" t="s">
        <v>12</v>
      </c>
      <c r="H10" s="90" t="s">
        <v>13</v>
      </c>
      <c r="I10" s="75" t="s">
        <v>56</v>
      </c>
      <c r="J10" s="87">
        <v>45672</v>
      </c>
      <c r="K10" s="75" t="s">
        <v>57</v>
      </c>
    </row>
    <row r="11" spans="1:11" ht="15" customHeight="1">
      <c r="A11" s="75" t="s">
        <v>75</v>
      </c>
      <c r="B11" s="75" t="s">
        <v>76</v>
      </c>
      <c r="C11" s="75" t="s">
        <v>18</v>
      </c>
      <c r="D11" s="75" t="s">
        <v>16</v>
      </c>
      <c r="E11" s="75" t="s">
        <v>10</v>
      </c>
      <c r="F11" s="75" t="s">
        <v>11</v>
      </c>
      <c r="G11" s="75" t="s">
        <v>12</v>
      </c>
      <c r="H11" s="90" t="s">
        <v>13</v>
      </c>
      <c r="I11" s="75" t="s">
        <v>66</v>
      </c>
      <c r="J11" s="87">
        <v>45672</v>
      </c>
      <c r="K11" s="75" t="s">
        <v>57</v>
      </c>
    </row>
    <row r="12" spans="1:11" ht="15" customHeight="1">
      <c r="A12" s="75" t="s">
        <v>77</v>
      </c>
      <c r="B12" s="75" t="s">
        <v>78</v>
      </c>
      <c r="C12" s="75" t="s">
        <v>20</v>
      </c>
      <c r="D12" s="75" t="s">
        <v>19</v>
      </c>
      <c r="E12" s="75" t="s">
        <v>10</v>
      </c>
      <c r="F12" s="75" t="s">
        <v>11</v>
      </c>
      <c r="G12" s="75" t="s">
        <v>12</v>
      </c>
      <c r="H12" s="90" t="s">
        <v>13</v>
      </c>
      <c r="I12" s="75" t="s">
        <v>66</v>
      </c>
      <c r="J12" s="87">
        <v>44946</v>
      </c>
      <c r="K12" s="75" t="s">
        <v>57</v>
      </c>
    </row>
    <row r="13" spans="1:11" ht="15" customHeight="1">
      <c r="A13" s="75" t="s">
        <v>79</v>
      </c>
      <c r="B13" s="75" t="s">
        <v>80</v>
      </c>
      <c r="C13" s="75" t="s">
        <v>21</v>
      </c>
      <c r="D13" s="75" t="s">
        <v>19</v>
      </c>
      <c r="E13" s="75" t="s">
        <v>10</v>
      </c>
      <c r="F13" s="75" t="s">
        <v>11</v>
      </c>
      <c r="G13" s="75" t="s">
        <v>12</v>
      </c>
      <c r="H13" s="90" t="s">
        <v>13</v>
      </c>
      <c r="I13" s="75" t="s">
        <v>66</v>
      </c>
      <c r="J13" s="87">
        <v>45828</v>
      </c>
      <c r="K13" s="75" t="s">
        <v>57</v>
      </c>
    </row>
    <row r="14" spans="1:11" ht="15" customHeight="1">
      <c r="A14" s="75" t="s">
        <v>81</v>
      </c>
      <c r="B14" s="75" t="s">
        <v>82</v>
      </c>
      <c r="C14" s="75" t="s">
        <v>21</v>
      </c>
      <c r="D14" s="75" t="s">
        <v>19</v>
      </c>
      <c r="E14" s="75" t="s">
        <v>10</v>
      </c>
      <c r="F14" s="75" t="s">
        <v>11</v>
      </c>
      <c r="G14" s="75" t="s">
        <v>12</v>
      </c>
      <c r="H14" s="90" t="s">
        <v>13</v>
      </c>
      <c r="I14" s="75" t="s">
        <v>56</v>
      </c>
      <c r="J14" s="87">
        <v>44571</v>
      </c>
      <c r="K14" s="75" t="s">
        <v>57</v>
      </c>
    </row>
    <row r="15" spans="1:11" ht="15" customHeight="1">
      <c r="A15" s="75" t="s">
        <v>83</v>
      </c>
      <c r="B15" s="75" t="s">
        <v>84</v>
      </c>
      <c r="C15" s="75" t="s">
        <v>23</v>
      </c>
      <c r="D15" s="75" t="s">
        <v>22</v>
      </c>
      <c r="E15" s="75" t="s">
        <v>10</v>
      </c>
      <c r="F15" s="75" t="s">
        <v>11</v>
      </c>
      <c r="G15" s="75" t="s">
        <v>12</v>
      </c>
      <c r="H15" s="90" t="s">
        <v>13</v>
      </c>
      <c r="I15" s="75" t="s">
        <v>66</v>
      </c>
      <c r="J15" s="87">
        <v>45336</v>
      </c>
      <c r="K15" s="75" t="s">
        <v>57</v>
      </c>
    </row>
    <row r="16" spans="1:11" ht="15" customHeight="1">
      <c r="A16" s="75" t="s">
        <v>85</v>
      </c>
      <c r="B16" s="75" t="s">
        <v>86</v>
      </c>
      <c r="C16" s="75" t="s">
        <v>24</v>
      </c>
      <c r="D16" s="75" t="s">
        <v>22</v>
      </c>
      <c r="E16" s="75" t="s">
        <v>10</v>
      </c>
      <c r="F16" s="75" t="s">
        <v>11</v>
      </c>
      <c r="G16" s="75" t="s">
        <v>12</v>
      </c>
      <c r="H16" s="90" t="s">
        <v>13</v>
      </c>
      <c r="I16" s="75" t="s">
        <v>56</v>
      </c>
      <c r="J16" s="87">
        <v>45056</v>
      </c>
      <c r="K16" s="75" t="s">
        <v>57</v>
      </c>
    </row>
    <row r="17" spans="1:11" ht="15" customHeight="1">
      <c r="A17" s="75" t="s">
        <v>87</v>
      </c>
      <c r="B17" s="75" t="s">
        <v>88</v>
      </c>
      <c r="C17" s="75" t="s">
        <v>24</v>
      </c>
      <c r="D17" s="75" t="s">
        <v>22</v>
      </c>
      <c r="E17" s="75" t="s">
        <v>10</v>
      </c>
      <c r="F17" s="75" t="s">
        <v>11</v>
      </c>
      <c r="G17" s="75" t="s">
        <v>12</v>
      </c>
      <c r="H17" s="90" t="s">
        <v>13</v>
      </c>
      <c r="I17" s="75" t="s">
        <v>66</v>
      </c>
      <c r="J17" s="87">
        <v>44946</v>
      </c>
      <c r="K17" s="75" t="s">
        <v>57</v>
      </c>
    </row>
    <row r="18" spans="1:11" ht="15" customHeight="1">
      <c r="A18" s="73" t="s">
        <v>89</v>
      </c>
      <c r="B18" s="73" t="s">
        <v>90</v>
      </c>
      <c r="C18" s="73" t="s">
        <v>26</v>
      </c>
      <c r="D18" s="85" t="s">
        <v>25</v>
      </c>
      <c r="E18" s="73" t="s">
        <v>27</v>
      </c>
      <c r="F18" s="74" t="s">
        <v>28</v>
      </c>
      <c r="G18" s="74" t="s">
        <v>29</v>
      </c>
      <c r="H18" s="91" t="s">
        <v>30</v>
      </c>
      <c r="I18" s="73" t="s">
        <v>91</v>
      </c>
      <c r="J18" s="88">
        <v>44635</v>
      </c>
      <c r="K18" s="73" t="s">
        <v>57</v>
      </c>
    </row>
    <row r="19" spans="1:11" ht="15" customHeight="1">
      <c r="A19" s="73" t="s">
        <v>92</v>
      </c>
      <c r="B19" s="73" t="s">
        <v>93</v>
      </c>
      <c r="C19" s="73" t="s">
        <v>26</v>
      </c>
      <c r="D19" s="85" t="s">
        <v>25</v>
      </c>
      <c r="E19" s="73" t="s">
        <v>27</v>
      </c>
      <c r="F19" s="74" t="s">
        <v>28</v>
      </c>
      <c r="G19" s="74" t="s">
        <v>29</v>
      </c>
      <c r="H19" s="91" t="s">
        <v>30</v>
      </c>
      <c r="I19" s="73" t="s">
        <v>91</v>
      </c>
      <c r="J19" s="88">
        <v>45336</v>
      </c>
      <c r="K19" s="73" t="s">
        <v>57</v>
      </c>
    </row>
    <row r="20" spans="1:11" ht="15" customHeight="1">
      <c r="A20" s="73" t="s">
        <v>94</v>
      </c>
      <c r="B20" s="73" t="s">
        <v>95</v>
      </c>
      <c r="C20" s="73" t="s">
        <v>26</v>
      </c>
      <c r="D20" s="85" t="s">
        <v>25</v>
      </c>
      <c r="E20" s="73" t="s">
        <v>27</v>
      </c>
      <c r="F20" s="74" t="s">
        <v>28</v>
      </c>
      <c r="G20" s="74" t="s">
        <v>29</v>
      </c>
      <c r="H20" s="91" t="s">
        <v>30</v>
      </c>
      <c r="I20" s="73" t="s">
        <v>56</v>
      </c>
      <c r="J20" s="88">
        <v>45170</v>
      </c>
      <c r="K20" s="73" t="s">
        <v>57</v>
      </c>
    </row>
    <row r="21" spans="1:11" ht="15" customHeight="1">
      <c r="A21" s="73" t="s">
        <v>96</v>
      </c>
      <c r="B21" s="73" t="s">
        <v>97</v>
      </c>
      <c r="C21" s="73" t="s">
        <v>31</v>
      </c>
      <c r="D21" s="85" t="s">
        <v>25</v>
      </c>
      <c r="E21" s="73" t="s">
        <v>27</v>
      </c>
      <c r="F21" s="74" t="s">
        <v>28</v>
      </c>
      <c r="G21" s="74" t="s">
        <v>29</v>
      </c>
      <c r="H21" s="91" t="s">
        <v>30</v>
      </c>
      <c r="I21" s="73" t="s">
        <v>56</v>
      </c>
      <c r="J21" s="88">
        <v>45828</v>
      </c>
      <c r="K21" s="73" t="s">
        <v>57</v>
      </c>
    </row>
    <row r="22" spans="1:11" ht="15" customHeight="1">
      <c r="A22" s="73" t="s">
        <v>98</v>
      </c>
      <c r="B22" s="73" t="s">
        <v>99</v>
      </c>
      <c r="C22" s="73" t="s">
        <v>31</v>
      </c>
      <c r="D22" s="85" t="s">
        <v>25</v>
      </c>
      <c r="E22" s="73" t="s">
        <v>27</v>
      </c>
      <c r="F22" s="74" t="s">
        <v>28</v>
      </c>
      <c r="G22" s="74" t="s">
        <v>29</v>
      </c>
      <c r="H22" s="91" t="s">
        <v>30</v>
      </c>
      <c r="I22" s="73" t="s">
        <v>66</v>
      </c>
      <c r="J22" s="88">
        <v>44571</v>
      </c>
      <c r="K22" s="73" t="s">
        <v>57</v>
      </c>
    </row>
    <row r="23" spans="1:11" ht="15" customHeight="1">
      <c r="A23" s="73" t="s">
        <v>100</v>
      </c>
      <c r="B23" s="73" t="s">
        <v>101</v>
      </c>
      <c r="C23" s="73" t="s">
        <v>31</v>
      </c>
      <c r="D23" s="85" t="s">
        <v>25</v>
      </c>
      <c r="E23" s="73" t="s">
        <v>27</v>
      </c>
      <c r="F23" s="74" t="s">
        <v>28</v>
      </c>
      <c r="G23" s="74" t="s">
        <v>29</v>
      </c>
      <c r="H23" s="91" t="s">
        <v>30</v>
      </c>
      <c r="I23" s="73" t="s">
        <v>66</v>
      </c>
      <c r="J23" s="88">
        <v>45474</v>
      </c>
      <c r="K23" s="73" t="s">
        <v>57</v>
      </c>
    </row>
    <row r="24" spans="1:11" ht="15" customHeight="1">
      <c r="A24" s="73" t="s">
        <v>102</v>
      </c>
      <c r="B24" s="73" t="s">
        <v>103</v>
      </c>
      <c r="C24" s="73" t="s">
        <v>31</v>
      </c>
      <c r="D24" s="85" t="s">
        <v>25</v>
      </c>
      <c r="E24" s="73" t="s">
        <v>27</v>
      </c>
      <c r="F24" s="74" t="s">
        <v>28</v>
      </c>
      <c r="G24" s="74" t="s">
        <v>29</v>
      </c>
      <c r="H24" s="91" t="s">
        <v>30</v>
      </c>
      <c r="I24" s="73" t="s">
        <v>56</v>
      </c>
      <c r="J24" s="88">
        <v>44635</v>
      </c>
      <c r="K24" s="73" t="s">
        <v>57</v>
      </c>
    </row>
    <row r="25" spans="1:11" ht="15" customHeight="1">
      <c r="A25" s="73" t="s">
        <v>104</v>
      </c>
      <c r="B25" s="73" t="s">
        <v>105</v>
      </c>
      <c r="C25" s="73" t="s">
        <v>31</v>
      </c>
      <c r="D25" s="85" t="s">
        <v>25</v>
      </c>
      <c r="E25" s="73" t="s">
        <v>27</v>
      </c>
      <c r="F25" s="74" t="s">
        <v>28</v>
      </c>
      <c r="G25" s="74" t="s">
        <v>29</v>
      </c>
      <c r="H25" s="91" t="s">
        <v>30</v>
      </c>
      <c r="I25" s="73" t="s">
        <v>66</v>
      </c>
      <c r="J25" s="88">
        <v>44635</v>
      </c>
      <c r="K25" s="73" t="s">
        <v>57</v>
      </c>
    </row>
    <row r="26" spans="1:11" ht="15" customHeight="1">
      <c r="A26" s="73" t="s">
        <v>106</v>
      </c>
      <c r="B26" s="73" t="s">
        <v>107</v>
      </c>
      <c r="C26" s="73" t="s">
        <v>31</v>
      </c>
      <c r="D26" s="85" t="s">
        <v>25</v>
      </c>
      <c r="E26" s="73" t="s">
        <v>27</v>
      </c>
      <c r="F26" s="74" t="s">
        <v>28</v>
      </c>
      <c r="G26" s="74" t="s">
        <v>29</v>
      </c>
      <c r="H26" s="91" t="s">
        <v>30</v>
      </c>
      <c r="I26" s="73" t="s">
        <v>66</v>
      </c>
      <c r="J26" s="88">
        <v>45056</v>
      </c>
      <c r="K26" s="73" t="s">
        <v>57</v>
      </c>
    </row>
    <row r="27" spans="1:11" ht="25.5" customHeight="1">
      <c r="A27" s="73" t="s">
        <v>108</v>
      </c>
      <c r="B27" s="73" t="s">
        <v>109</v>
      </c>
      <c r="C27" s="73" t="s">
        <v>32</v>
      </c>
      <c r="D27" s="85" t="s">
        <v>25</v>
      </c>
      <c r="E27" s="73" t="s">
        <v>27</v>
      </c>
      <c r="F27" s="74" t="s">
        <v>28</v>
      </c>
      <c r="G27" s="74" t="s">
        <v>29</v>
      </c>
      <c r="H27" s="91" t="s">
        <v>30</v>
      </c>
      <c r="I27" s="73" t="s">
        <v>56</v>
      </c>
      <c r="J27" s="88">
        <v>45828</v>
      </c>
      <c r="K27" s="73" t="s">
        <v>57</v>
      </c>
    </row>
    <row r="28" spans="1:11" ht="25.5" customHeight="1">
      <c r="A28" s="73" t="s">
        <v>110</v>
      </c>
      <c r="B28" s="73" t="s">
        <v>111</v>
      </c>
      <c r="C28" s="73" t="s">
        <v>32</v>
      </c>
      <c r="D28" s="85" t="s">
        <v>25</v>
      </c>
      <c r="E28" s="73" t="s">
        <v>27</v>
      </c>
      <c r="F28" s="74" t="s">
        <v>28</v>
      </c>
      <c r="G28" s="74" t="s">
        <v>29</v>
      </c>
      <c r="H28" s="91" t="s">
        <v>30</v>
      </c>
      <c r="I28" s="73" t="s">
        <v>91</v>
      </c>
      <c r="J28" s="88">
        <v>45828</v>
      </c>
      <c r="K28" s="73" t="s">
        <v>57</v>
      </c>
    </row>
    <row r="29" spans="1:11" ht="25.5" customHeight="1">
      <c r="A29" s="73" t="s">
        <v>112</v>
      </c>
      <c r="B29" s="73" t="s">
        <v>113</v>
      </c>
      <c r="C29" s="73" t="s">
        <v>32</v>
      </c>
      <c r="D29" s="85" t="s">
        <v>25</v>
      </c>
      <c r="E29" s="73" t="s">
        <v>27</v>
      </c>
      <c r="F29" s="74" t="s">
        <v>28</v>
      </c>
      <c r="G29" s="74" t="s">
        <v>29</v>
      </c>
      <c r="H29" s="91" t="s">
        <v>30</v>
      </c>
      <c r="I29" s="73" t="s">
        <v>91</v>
      </c>
      <c r="J29" s="88">
        <v>44635</v>
      </c>
      <c r="K29" s="73" t="s">
        <v>57</v>
      </c>
    </row>
    <row r="30" spans="1:11" ht="25.5" customHeight="1">
      <c r="A30" s="73" t="s">
        <v>114</v>
      </c>
      <c r="B30" s="73" t="s">
        <v>115</v>
      </c>
      <c r="C30" s="73" t="s">
        <v>32</v>
      </c>
      <c r="D30" s="85" t="s">
        <v>25</v>
      </c>
      <c r="E30" s="73" t="s">
        <v>27</v>
      </c>
      <c r="F30" s="74" t="s">
        <v>28</v>
      </c>
      <c r="G30" s="74" t="s">
        <v>29</v>
      </c>
      <c r="H30" s="91" t="s">
        <v>30</v>
      </c>
      <c r="I30" s="73" t="s">
        <v>56</v>
      </c>
      <c r="J30" s="88">
        <v>44946</v>
      </c>
      <c r="K30" s="73" t="s">
        <v>57</v>
      </c>
    </row>
    <row r="31" spans="1:11" ht="15" customHeight="1">
      <c r="A31" s="73" t="s">
        <v>116</v>
      </c>
      <c r="B31" s="73" t="s">
        <v>117</v>
      </c>
      <c r="C31" s="73" t="s">
        <v>33</v>
      </c>
      <c r="D31" s="85" t="s">
        <v>25</v>
      </c>
      <c r="E31" s="73" t="s">
        <v>27</v>
      </c>
      <c r="F31" s="74" t="s">
        <v>28</v>
      </c>
      <c r="G31" s="74" t="s">
        <v>29</v>
      </c>
      <c r="H31" s="91" t="s">
        <v>30</v>
      </c>
      <c r="I31" s="73" t="s">
        <v>91</v>
      </c>
      <c r="J31" s="88">
        <v>44635</v>
      </c>
      <c r="K31" s="73" t="s">
        <v>57</v>
      </c>
    </row>
    <row r="32" spans="1:11" ht="15" customHeight="1">
      <c r="A32" s="73" t="s">
        <v>118</v>
      </c>
      <c r="B32" s="73" t="s">
        <v>119</v>
      </c>
      <c r="C32" s="73" t="s">
        <v>33</v>
      </c>
      <c r="D32" s="85" t="s">
        <v>25</v>
      </c>
      <c r="E32" s="73" t="s">
        <v>27</v>
      </c>
      <c r="F32" s="74" t="s">
        <v>28</v>
      </c>
      <c r="G32" s="74" t="s">
        <v>29</v>
      </c>
      <c r="H32" s="91" t="s">
        <v>30</v>
      </c>
      <c r="I32" s="73" t="s">
        <v>56</v>
      </c>
      <c r="J32" s="88">
        <v>44635</v>
      </c>
      <c r="K32" s="73" t="s">
        <v>57</v>
      </c>
    </row>
    <row r="33" spans="1:11" ht="15" customHeight="1">
      <c r="A33" s="73" t="s">
        <v>120</v>
      </c>
      <c r="B33" s="73" t="s">
        <v>121</v>
      </c>
      <c r="C33" s="73" t="s">
        <v>33</v>
      </c>
      <c r="D33" s="85" t="s">
        <v>25</v>
      </c>
      <c r="E33" s="73" t="s">
        <v>27</v>
      </c>
      <c r="F33" s="74" t="s">
        <v>28</v>
      </c>
      <c r="G33" s="74" t="s">
        <v>29</v>
      </c>
      <c r="H33" s="91" t="s">
        <v>30</v>
      </c>
      <c r="I33" s="73" t="s">
        <v>56</v>
      </c>
      <c r="J33" s="88">
        <v>45056</v>
      </c>
      <c r="K33" s="73" t="s">
        <v>57</v>
      </c>
    </row>
    <row r="34" spans="1:11" ht="15" customHeight="1">
      <c r="A34" s="73" t="s">
        <v>122</v>
      </c>
      <c r="B34" s="73" t="s">
        <v>123</v>
      </c>
      <c r="C34" s="73" t="s">
        <v>34</v>
      </c>
      <c r="D34" s="85" t="s">
        <v>25</v>
      </c>
      <c r="E34" s="73" t="s">
        <v>27</v>
      </c>
      <c r="F34" s="74" t="s">
        <v>28</v>
      </c>
      <c r="G34" s="74" t="s">
        <v>29</v>
      </c>
      <c r="H34" s="91" t="s">
        <v>30</v>
      </c>
      <c r="I34" s="73" t="s">
        <v>91</v>
      </c>
      <c r="J34" s="88">
        <v>45170</v>
      </c>
      <c r="K34" s="73" t="s">
        <v>57</v>
      </c>
    </row>
    <row r="35" spans="1:11" ht="15" customHeight="1">
      <c r="A35" s="73" t="s">
        <v>124</v>
      </c>
      <c r="B35" s="73" t="s">
        <v>125</v>
      </c>
      <c r="C35" s="73" t="s">
        <v>34</v>
      </c>
      <c r="D35" s="85" t="s">
        <v>25</v>
      </c>
      <c r="E35" s="73" t="s">
        <v>27</v>
      </c>
      <c r="F35" s="74" t="s">
        <v>28</v>
      </c>
      <c r="G35" s="74" t="s">
        <v>29</v>
      </c>
      <c r="H35" s="91" t="s">
        <v>30</v>
      </c>
      <c r="I35" s="73" t="s">
        <v>56</v>
      </c>
      <c r="J35" s="88">
        <v>45170</v>
      </c>
      <c r="K35" s="73" t="s">
        <v>57</v>
      </c>
    </row>
    <row r="36" spans="1:11" ht="15" customHeight="1">
      <c r="A36" s="73" t="s">
        <v>126</v>
      </c>
      <c r="B36" s="73" t="s">
        <v>127</v>
      </c>
      <c r="C36" s="73" t="s">
        <v>34</v>
      </c>
      <c r="D36" s="85" t="s">
        <v>25</v>
      </c>
      <c r="E36" s="73" t="s">
        <v>27</v>
      </c>
      <c r="F36" s="74" t="s">
        <v>28</v>
      </c>
      <c r="G36" s="74" t="s">
        <v>29</v>
      </c>
      <c r="H36" s="91" t="s">
        <v>30</v>
      </c>
      <c r="I36" s="73" t="s">
        <v>66</v>
      </c>
      <c r="J36" s="88">
        <v>44946</v>
      </c>
      <c r="K36" s="73" t="s">
        <v>57</v>
      </c>
    </row>
    <row r="37" spans="1:11" ht="15" customHeight="1">
      <c r="A37" s="73" t="s">
        <v>128</v>
      </c>
      <c r="B37" s="73" t="s">
        <v>129</v>
      </c>
      <c r="C37" s="73" t="s">
        <v>35</v>
      </c>
      <c r="D37" s="85" t="s">
        <v>25</v>
      </c>
      <c r="E37" s="73" t="s">
        <v>27</v>
      </c>
      <c r="F37" s="74" t="s">
        <v>28</v>
      </c>
      <c r="G37" s="74" t="s">
        <v>29</v>
      </c>
      <c r="H37" s="91" t="s">
        <v>30</v>
      </c>
      <c r="I37" s="73" t="s">
        <v>66</v>
      </c>
      <c r="J37" s="88">
        <v>45056</v>
      </c>
      <c r="K37" s="73" t="s">
        <v>57</v>
      </c>
    </row>
    <row r="38" spans="1:11" ht="15" customHeight="1">
      <c r="A38" s="73" t="s">
        <v>130</v>
      </c>
      <c r="B38" s="73" t="s">
        <v>131</v>
      </c>
      <c r="C38" s="73" t="s">
        <v>35</v>
      </c>
      <c r="D38" s="85" t="s">
        <v>25</v>
      </c>
      <c r="E38" s="73" t="s">
        <v>27</v>
      </c>
      <c r="F38" s="74" t="s">
        <v>28</v>
      </c>
      <c r="G38" s="74" t="s">
        <v>29</v>
      </c>
      <c r="H38" s="91" t="s">
        <v>30</v>
      </c>
      <c r="I38" s="73" t="s">
        <v>66</v>
      </c>
      <c r="J38" s="88">
        <v>44635</v>
      </c>
      <c r="K38" s="73" t="s">
        <v>57</v>
      </c>
    </row>
    <row r="39" spans="1:11" ht="15" customHeight="1">
      <c r="A39" s="73" t="s">
        <v>132</v>
      </c>
      <c r="B39" s="73" t="s">
        <v>133</v>
      </c>
      <c r="C39" s="73" t="s">
        <v>35</v>
      </c>
      <c r="D39" s="85" t="s">
        <v>25</v>
      </c>
      <c r="E39" s="73" t="s">
        <v>27</v>
      </c>
      <c r="F39" s="74" t="s">
        <v>28</v>
      </c>
      <c r="G39" s="74" t="s">
        <v>29</v>
      </c>
      <c r="H39" s="91" t="s">
        <v>30</v>
      </c>
      <c r="I39" s="73" t="s">
        <v>66</v>
      </c>
      <c r="J39" s="88">
        <v>44713</v>
      </c>
      <c r="K39" s="73" t="s">
        <v>57</v>
      </c>
    </row>
    <row r="40" spans="1:11" ht="15" customHeight="1">
      <c r="A40" s="73" t="s">
        <v>134</v>
      </c>
      <c r="B40" s="73" t="s">
        <v>135</v>
      </c>
      <c r="C40" s="73" t="s">
        <v>35</v>
      </c>
      <c r="D40" s="85" t="s">
        <v>25</v>
      </c>
      <c r="E40" s="73" t="s">
        <v>27</v>
      </c>
      <c r="F40" s="74" t="s">
        <v>28</v>
      </c>
      <c r="G40" s="74" t="s">
        <v>29</v>
      </c>
      <c r="H40" s="91" t="s">
        <v>30</v>
      </c>
      <c r="I40" s="73" t="s">
        <v>91</v>
      </c>
      <c r="J40" s="88">
        <v>44946</v>
      </c>
      <c r="K40" s="73" t="s">
        <v>57</v>
      </c>
    </row>
    <row r="41" spans="1:11" ht="15" customHeight="1">
      <c r="A41" s="75" t="s">
        <v>136</v>
      </c>
      <c r="B41" s="75" t="s">
        <v>137</v>
      </c>
      <c r="C41" s="75" t="s">
        <v>37</v>
      </c>
      <c r="D41" s="75" t="s">
        <v>36</v>
      </c>
      <c r="E41" s="75" t="s">
        <v>10</v>
      </c>
      <c r="F41" s="75" t="s">
        <v>11</v>
      </c>
      <c r="G41" s="75" t="s">
        <v>12</v>
      </c>
      <c r="H41" s="90" t="s">
        <v>13</v>
      </c>
      <c r="I41" s="75" t="s">
        <v>66</v>
      </c>
      <c r="J41" s="87">
        <v>45474</v>
      </c>
      <c r="K41" s="75" t="s">
        <v>57</v>
      </c>
    </row>
    <row r="42" spans="1:11" ht="15" customHeight="1">
      <c r="A42" s="75" t="s">
        <v>138</v>
      </c>
      <c r="B42" s="75" t="s">
        <v>139</v>
      </c>
      <c r="C42" s="75" t="s">
        <v>37</v>
      </c>
      <c r="D42" s="75" t="s">
        <v>36</v>
      </c>
      <c r="E42" s="75" t="s">
        <v>10</v>
      </c>
      <c r="F42" s="75" t="s">
        <v>11</v>
      </c>
      <c r="G42" s="75" t="s">
        <v>12</v>
      </c>
      <c r="H42" s="90" t="s">
        <v>13</v>
      </c>
      <c r="I42" s="75" t="s">
        <v>56</v>
      </c>
      <c r="J42" s="87">
        <v>45056</v>
      </c>
      <c r="K42" s="75" t="s">
        <v>57</v>
      </c>
    </row>
    <row r="43" spans="1:11" ht="15" customHeight="1">
      <c r="A43" s="73" t="s">
        <v>140</v>
      </c>
      <c r="B43" s="73" t="s">
        <v>141</v>
      </c>
      <c r="C43" s="73" t="s">
        <v>38</v>
      </c>
      <c r="D43" s="85" t="s">
        <v>36</v>
      </c>
      <c r="E43" s="73" t="s">
        <v>27</v>
      </c>
      <c r="F43" s="74" t="s">
        <v>28</v>
      </c>
      <c r="G43" s="74" t="s">
        <v>29</v>
      </c>
      <c r="H43" s="91" t="s">
        <v>30</v>
      </c>
      <c r="I43" s="73" t="s">
        <v>91</v>
      </c>
      <c r="J43" s="88">
        <v>45170</v>
      </c>
      <c r="K43" s="73" t="s">
        <v>57</v>
      </c>
    </row>
    <row r="44" spans="1:11" ht="15" customHeight="1">
      <c r="A44" s="73" t="s">
        <v>142</v>
      </c>
      <c r="B44" s="73" t="s">
        <v>143</v>
      </c>
      <c r="C44" s="73" t="s">
        <v>38</v>
      </c>
      <c r="D44" s="85" t="s">
        <v>36</v>
      </c>
      <c r="E44" s="73" t="s">
        <v>27</v>
      </c>
      <c r="F44" s="74" t="s">
        <v>28</v>
      </c>
      <c r="G44" s="74" t="s">
        <v>29</v>
      </c>
      <c r="H44" s="91" t="s">
        <v>30</v>
      </c>
      <c r="I44" s="73" t="s">
        <v>91</v>
      </c>
      <c r="J44" s="88">
        <v>44946</v>
      </c>
      <c r="K44" s="73" t="s">
        <v>57</v>
      </c>
    </row>
    <row r="45" spans="1:11" ht="15" customHeight="1">
      <c r="A45" s="73" t="s">
        <v>144</v>
      </c>
      <c r="B45" s="73" t="s">
        <v>145</v>
      </c>
      <c r="C45" s="73" t="s">
        <v>38</v>
      </c>
      <c r="D45" s="85" t="s">
        <v>36</v>
      </c>
      <c r="E45" s="73" t="s">
        <v>27</v>
      </c>
      <c r="F45" s="74" t="s">
        <v>28</v>
      </c>
      <c r="G45" s="74" t="s">
        <v>29</v>
      </c>
      <c r="H45" s="91" t="s">
        <v>30</v>
      </c>
      <c r="I45" s="73" t="s">
        <v>56</v>
      </c>
      <c r="J45" s="88">
        <v>45170</v>
      </c>
      <c r="K45" s="73" t="s">
        <v>57</v>
      </c>
    </row>
    <row r="46" spans="1:11" ht="15" customHeight="1">
      <c r="A46" s="73" t="s">
        <v>146</v>
      </c>
      <c r="B46" s="73" t="s">
        <v>147</v>
      </c>
      <c r="C46" s="73" t="s">
        <v>40</v>
      </c>
      <c r="D46" s="85" t="s">
        <v>39</v>
      </c>
      <c r="E46" s="73" t="s">
        <v>27</v>
      </c>
      <c r="F46" s="74" t="s">
        <v>28</v>
      </c>
      <c r="G46" s="74" t="s">
        <v>29</v>
      </c>
      <c r="H46" s="91" t="s">
        <v>30</v>
      </c>
      <c r="I46" s="73" t="s">
        <v>91</v>
      </c>
      <c r="J46" s="88">
        <v>45056</v>
      </c>
      <c r="K46" s="73" t="s">
        <v>57</v>
      </c>
    </row>
    <row r="47" spans="1:11" ht="15" customHeight="1">
      <c r="A47" s="73" t="s">
        <v>148</v>
      </c>
      <c r="B47" s="73" t="s">
        <v>149</v>
      </c>
      <c r="C47" s="73" t="s">
        <v>41</v>
      </c>
      <c r="D47" s="85" t="s">
        <v>39</v>
      </c>
      <c r="E47" s="73" t="s">
        <v>27</v>
      </c>
      <c r="F47" s="74" t="s">
        <v>28</v>
      </c>
      <c r="G47" s="74" t="s">
        <v>29</v>
      </c>
      <c r="H47" s="91" t="s">
        <v>30</v>
      </c>
      <c r="I47" s="73" t="s">
        <v>66</v>
      </c>
      <c r="J47" s="88">
        <v>44946</v>
      </c>
      <c r="K47" s="73" t="s">
        <v>57</v>
      </c>
    </row>
    <row r="48" spans="1:11" ht="15" customHeight="1">
      <c r="A48" s="73" t="s">
        <v>150</v>
      </c>
      <c r="B48" s="73" t="s">
        <v>151</v>
      </c>
      <c r="C48" s="73" t="s">
        <v>41</v>
      </c>
      <c r="D48" s="85" t="s">
        <v>39</v>
      </c>
      <c r="E48" s="73" t="s">
        <v>27</v>
      </c>
      <c r="F48" s="74" t="s">
        <v>28</v>
      </c>
      <c r="G48" s="74" t="s">
        <v>29</v>
      </c>
      <c r="H48" s="91" t="s">
        <v>30</v>
      </c>
      <c r="I48" s="73" t="s">
        <v>91</v>
      </c>
      <c r="J48" s="88">
        <v>45170</v>
      </c>
      <c r="K48" s="73" t="s">
        <v>57</v>
      </c>
    </row>
    <row r="49" spans="1:11" ht="15" customHeight="1">
      <c r="A49" s="73" t="s">
        <v>152</v>
      </c>
      <c r="B49" s="73" t="s">
        <v>153</v>
      </c>
      <c r="C49" s="73" t="s">
        <v>41</v>
      </c>
      <c r="D49" s="85" t="s">
        <v>39</v>
      </c>
      <c r="E49" s="73" t="s">
        <v>27</v>
      </c>
      <c r="F49" s="74" t="s">
        <v>28</v>
      </c>
      <c r="G49" s="74" t="s">
        <v>29</v>
      </c>
      <c r="H49" s="91" t="s">
        <v>30</v>
      </c>
      <c r="I49" s="73" t="s">
        <v>56</v>
      </c>
      <c r="J49" s="88">
        <v>45474</v>
      </c>
      <c r="K49" s="73" t="s">
        <v>57</v>
      </c>
    </row>
    <row r="50" spans="1:11" ht="15" customHeight="1">
      <c r="A50" s="75" t="s">
        <v>154</v>
      </c>
      <c r="B50" s="75" t="s">
        <v>155</v>
      </c>
      <c r="C50" s="75" t="s">
        <v>43</v>
      </c>
      <c r="D50" s="75" t="s">
        <v>42</v>
      </c>
      <c r="E50" s="75" t="s">
        <v>10</v>
      </c>
      <c r="F50" s="75" t="s">
        <v>11</v>
      </c>
      <c r="G50" s="75" t="s">
        <v>12</v>
      </c>
      <c r="H50" s="90" t="s">
        <v>13</v>
      </c>
      <c r="I50" s="75" t="s">
        <v>56</v>
      </c>
      <c r="J50" s="87">
        <v>45474</v>
      </c>
      <c r="K50" s="75" t="s">
        <v>57</v>
      </c>
    </row>
    <row r="51" spans="1:11" ht="15" customHeight="1">
      <c r="A51" s="73" t="s">
        <v>156</v>
      </c>
      <c r="B51" s="73" t="s">
        <v>157</v>
      </c>
      <c r="C51" s="73" t="s">
        <v>44</v>
      </c>
      <c r="D51" s="85" t="s">
        <v>42</v>
      </c>
      <c r="E51" s="73" t="s">
        <v>27</v>
      </c>
      <c r="F51" s="74" t="s">
        <v>28</v>
      </c>
      <c r="G51" s="74" t="s">
        <v>29</v>
      </c>
      <c r="H51" s="91" t="s">
        <v>30</v>
      </c>
      <c r="I51" s="73" t="s">
        <v>91</v>
      </c>
      <c r="J51" s="88">
        <v>45056</v>
      </c>
      <c r="K51" s="73" t="s">
        <v>57</v>
      </c>
    </row>
    <row r="52" spans="1:11" ht="15" customHeight="1">
      <c r="A52" s="73" t="s">
        <v>158</v>
      </c>
      <c r="B52" s="73" t="s">
        <v>159</v>
      </c>
      <c r="C52" s="73" t="s">
        <v>44</v>
      </c>
      <c r="D52" s="85" t="s">
        <v>42</v>
      </c>
      <c r="E52" s="73" t="s">
        <v>27</v>
      </c>
      <c r="F52" s="74" t="s">
        <v>28</v>
      </c>
      <c r="G52" s="74" t="s">
        <v>29</v>
      </c>
      <c r="H52" s="91" t="s">
        <v>30</v>
      </c>
      <c r="I52" s="73" t="s">
        <v>66</v>
      </c>
      <c r="J52" s="88">
        <v>44946</v>
      </c>
      <c r="K52" s="73" t="s">
        <v>57</v>
      </c>
    </row>
    <row r="53" spans="1:11" ht="15" customHeight="1">
      <c r="A53" s="73" t="s">
        <v>160</v>
      </c>
      <c r="B53" s="73" t="s">
        <v>161</v>
      </c>
      <c r="C53" s="73" t="s">
        <v>45</v>
      </c>
      <c r="D53" s="85" t="s">
        <v>42</v>
      </c>
      <c r="E53" s="73" t="s">
        <v>27</v>
      </c>
      <c r="F53" s="74" t="s">
        <v>28</v>
      </c>
      <c r="G53" s="74" t="s">
        <v>29</v>
      </c>
      <c r="H53" s="91" t="s">
        <v>30</v>
      </c>
      <c r="I53" s="73" t="s">
        <v>66</v>
      </c>
      <c r="J53" s="88">
        <v>45672</v>
      </c>
      <c r="K53" s="73" t="s">
        <v>57</v>
      </c>
    </row>
    <row r="54" spans="1:11" ht="15" customHeight="1">
      <c r="A54" s="73" t="s">
        <v>162</v>
      </c>
      <c r="B54" s="73" t="s">
        <v>163</v>
      </c>
      <c r="C54" s="73" t="s">
        <v>45</v>
      </c>
      <c r="D54" s="85" t="s">
        <v>42</v>
      </c>
      <c r="E54" s="73" t="s">
        <v>27</v>
      </c>
      <c r="F54" s="74" t="s">
        <v>28</v>
      </c>
      <c r="G54" s="74" t="s">
        <v>29</v>
      </c>
      <c r="H54" s="91" t="s">
        <v>30</v>
      </c>
      <c r="I54" s="73" t="s">
        <v>66</v>
      </c>
      <c r="J54" s="88">
        <v>45056</v>
      </c>
      <c r="K54" s="73" t="s">
        <v>57</v>
      </c>
    </row>
    <row r="55" spans="1:11">
      <c r="A55" s="95" t="s">
        <v>328</v>
      </c>
      <c r="B55" s="96" t="s">
        <v>329</v>
      </c>
      <c r="C55" s="96" t="s">
        <v>327</v>
      </c>
      <c r="D55" s="96" t="s">
        <v>330</v>
      </c>
      <c r="E55" s="96" t="s">
        <v>10</v>
      </c>
      <c r="F55" s="75" t="s">
        <v>11</v>
      </c>
      <c r="G55" s="75" t="s">
        <v>12</v>
      </c>
      <c r="H55" s="90" t="s">
        <v>13</v>
      </c>
      <c r="I55" s="75" t="s">
        <v>56</v>
      </c>
      <c r="J55" s="87">
        <v>45474</v>
      </c>
      <c r="K55" s="75" t="s">
        <v>57</v>
      </c>
    </row>
    <row r="56" spans="1:11">
      <c r="A56" s="95" t="s">
        <v>331</v>
      </c>
      <c r="B56" s="96" t="s">
        <v>333</v>
      </c>
      <c r="C56" s="96" t="s">
        <v>327</v>
      </c>
      <c r="D56" s="96" t="s">
        <v>330</v>
      </c>
      <c r="E56" s="96" t="s">
        <v>10</v>
      </c>
      <c r="F56" s="75" t="s">
        <v>11</v>
      </c>
      <c r="G56" s="75" t="s">
        <v>12</v>
      </c>
      <c r="H56" s="90" t="s">
        <v>13</v>
      </c>
      <c r="I56" s="75" t="s">
        <v>56</v>
      </c>
      <c r="J56" s="87">
        <v>45536</v>
      </c>
      <c r="K56" s="75" t="s">
        <v>57</v>
      </c>
    </row>
    <row r="57" spans="1:11">
      <c r="A57" s="95" t="s">
        <v>332</v>
      </c>
      <c r="B57" s="96" t="s">
        <v>334</v>
      </c>
      <c r="C57" s="96" t="s">
        <v>327</v>
      </c>
      <c r="D57" s="96" t="s">
        <v>330</v>
      </c>
      <c r="E57" s="96" t="s">
        <v>10</v>
      </c>
      <c r="F57" s="75" t="s">
        <v>11</v>
      </c>
      <c r="G57" s="75" t="s">
        <v>12</v>
      </c>
      <c r="H57" s="90" t="s">
        <v>13</v>
      </c>
      <c r="I57" s="75" t="s">
        <v>56</v>
      </c>
      <c r="J57" s="87">
        <v>45689</v>
      </c>
      <c r="K57" s="75" t="s">
        <v>57</v>
      </c>
    </row>
  </sheetData>
  <autoFilter ref="A1:K54" xr:uid="{00000000-0001-0000-0200-000000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"/>
  <sheetViews>
    <sheetView zoomScaleNormal="100" workbookViewId="0">
      <pane ySplit="2" topLeftCell="A3" activePane="bottomLeft" state="frozen"/>
      <selection pane="bottomLeft" activeCell="D5" sqref="D5"/>
    </sheetView>
  </sheetViews>
  <sheetFormatPr defaultColWidth="8.7109375" defaultRowHeight="15"/>
  <cols>
    <col min="1" max="1" width="9.85546875" bestFit="1" customWidth="1"/>
    <col min="2" max="2" width="40.85546875" bestFit="1" customWidth="1"/>
    <col min="3" max="3" width="17" bestFit="1" customWidth="1"/>
    <col min="4" max="4" width="16.140625" bestFit="1" customWidth="1"/>
    <col min="5" max="5" width="19.42578125" bestFit="1" customWidth="1"/>
    <col min="6" max="6" width="7.5703125" bestFit="1" customWidth="1"/>
    <col min="7" max="7" width="11.42578125" style="2" bestFit="1" customWidth="1"/>
    <col min="8" max="8" width="11.42578125" bestFit="1" customWidth="1"/>
    <col min="9" max="16" width="15.42578125" bestFit="1" customWidth="1"/>
    <col min="17" max="17" width="7.7109375" bestFit="1" customWidth="1"/>
  </cols>
  <sheetData>
    <row r="1" spans="1:17" ht="15" customHeight="1">
      <c r="I1" s="145" t="s">
        <v>164</v>
      </c>
      <c r="J1" s="145"/>
      <c r="K1" s="145"/>
      <c r="L1" s="145"/>
      <c r="M1" s="145"/>
      <c r="N1" s="145"/>
      <c r="O1" s="145"/>
      <c r="P1" s="145"/>
    </row>
    <row r="2" spans="1:17" ht="25.5" customHeight="1">
      <c r="A2" s="1" t="s">
        <v>165</v>
      </c>
      <c r="B2" s="1" t="s">
        <v>166</v>
      </c>
      <c r="C2" s="1" t="s">
        <v>167</v>
      </c>
      <c r="D2" s="94" t="s">
        <v>327</v>
      </c>
      <c r="E2" s="1" t="s">
        <v>168</v>
      </c>
      <c r="F2" s="1" t="s">
        <v>169</v>
      </c>
      <c r="G2" s="3" t="s">
        <v>170</v>
      </c>
      <c r="H2" s="1" t="s">
        <v>171</v>
      </c>
      <c r="I2" s="1" t="s">
        <v>172</v>
      </c>
      <c r="J2" s="1" t="s">
        <v>173</v>
      </c>
      <c r="K2" s="1" t="s">
        <v>174</v>
      </c>
      <c r="L2" s="1" t="s">
        <v>175</v>
      </c>
      <c r="M2" s="1" t="s">
        <v>176</v>
      </c>
      <c r="N2" s="1" t="s">
        <v>177</v>
      </c>
      <c r="O2" s="1" t="s">
        <v>178</v>
      </c>
      <c r="P2" s="1" t="s">
        <v>179</v>
      </c>
      <c r="Q2" s="1" t="s">
        <v>53</v>
      </c>
    </row>
    <row r="3" spans="1:17">
      <c r="A3" s="97" t="s">
        <v>180</v>
      </c>
      <c r="B3" s="97" t="s">
        <v>181</v>
      </c>
      <c r="C3" s="97" t="s">
        <v>182</v>
      </c>
      <c r="D3" s="97" t="s">
        <v>329</v>
      </c>
      <c r="E3" s="97" t="s">
        <v>183</v>
      </c>
      <c r="F3" s="97" t="s">
        <v>184</v>
      </c>
      <c r="G3" s="98">
        <v>46266</v>
      </c>
      <c r="H3" s="98">
        <v>46336</v>
      </c>
      <c r="I3" s="97">
        <v>7</v>
      </c>
      <c r="J3" s="97">
        <v>5</v>
      </c>
      <c r="K3" s="97">
        <v>6</v>
      </c>
      <c r="L3" s="97">
        <v>4</v>
      </c>
      <c r="M3" s="97">
        <v>25</v>
      </c>
      <c r="N3" s="97">
        <v>5</v>
      </c>
      <c r="O3" s="97">
        <v>3</v>
      </c>
      <c r="P3" s="97">
        <v>4</v>
      </c>
      <c r="Q3" s="97" t="s">
        <v>185</v>
      </c>
    </row>
    <row r="4" spans="1:17">
      <c r="A4" s="97" t="s">
        <v>186</v>
      </c>
      <c r="B4" s="97" t="s">
        <v>187</v>
      </c>
      <c r="C4" s="97" t="s">
        <v>188</v>
      </c>
      <c r="D4" s="97" t="s">
        <v>333</v>
      </c>
      <c r="E4" s="97" t="s">
        <v>189</v>
      </c>
      <c r="F4" s="97" t="s">
        <v>184</v>
      </c>
      <c r="G4" s="98">
        <v>46280</v>
      </c>
      <c r="H4" s="98">
        <v>46376</v>
      </c>
      <c r="I4" s="97">
        <v>10</v>
      </c>
      <c r="J4" s="97">
        <v>7</v>
      </c>
      <c r="K4" s="97">
        <v>8</v>
      </c>
      <c r="L4" s="97">
        <v>5</v>
      </c>
      <c r="M4" s="97">
        <v>40</v>
      </c>
      <c r="N4" s="97">
        <v>7</v>
      </c>
      <c r="O4" s="97">
        <v>5</v>
      </c>
      <c r="P4" s="97">
        <v>6</v>
      </c>
      <c r="Q4" s="97" t="s">
        <v>185</v>
      </c>
    </row>
    <row r="5" spans="1:17">
      <c r="A5" s="97" t="s">
        <v>190</v>
      </c>
      <c r="B5" s="97" t="s">
        <v>191</v>
      </c>
      <c r="C5" s="97" t="s">
        <v>192</v>
      </c>
      <c r="D5" s="97" t="s">
        <v>329</v>
      </c>
      <c r="E5" s="97" t="s">
        <v>193</v>
      </c>
      <c r="F5" s="97" t="s">
        <v>194</v>
      </c>
      <c r="G5" s="98">
        <v>46296</v>
      </c>
      <c r="H5" s="98">
        <v>46351</v>
      </c>
      <c r="I5" s="97">
        <v>5</v>
      </c>
      <c r="J5" s="97">
        <v>4</v>
      </c>
      <c r="K5" s="97">
        <v>5</v>
      </c>
      <c r="L5" s="97">
        <v>3</v>
      </c>
      <c r="M5" s="97">
        <v>18</v>
      </c>
      <c r="N5" s="97">
        <v>4</v>
      </c>
      <c r="O5" s="97">
        <v>3</v>
      </c>
      <c r="P5" s="97">
        <v>3</v>
      </c>
      <c r="Q5" s="97" t="s">
        <v>185</v>
      </c>
    </row>
    <row r="6" spans="1:17">
      <c r="A6" s="97" t="s">
        <v>195</v>
      </c>
      <c r="B6" s="97" t="s">
        <v>196</v>
      </c>
      <c r="C6" s="97" t="s">
        <v>197</v>
      </c>
      <c r="D6" s="97" t="s">
        <v>334</v>
      </c>
      <c r="E6" s="97" t="s">
        <v>198</v>
      </c>
      <c r="F6" s="97" t="s">
        <v>199</v>
      </c>
      <c r="G6" s="98">
        <v>46285</v>
      </c>
      <c r="H6" s="98">
        <v>46320</v>
      </c>
      <c r="I6" s="97">
        <v>3</v>
      </c>
      <c r="J6" s="97">
        <v>2</v>
      </c>
      <c r="K6" s="97">
        <v>3</v>
      </c>
      <c r="L6" s="97">
        <v>2</v>
      </c>
      <c r="M6" s="97">
        <v>14</v>
      </c>
      <c r="N6" s="97">
        <v>3</v>
      </c>
      <c r="O6" s="97">
        <v>2</v>
      </c>
      <c r="P6" s="97">
        <v>2</v>
      </c>
      <c r="Q6" s="97" t="s">
        <v>185</v>
      </c>
    </row>
    <row r="7" spans="1:17">
      <c r="A7" s="97" t="s">
        <v>200</v>
      </c>
      <c r="B7" s="97" t="s">
        <v>201</v>
      </c>
      <c r="C7" s="97" t="s">
        <v>202</v>
      </c>
      <c r="D7" s="97" t="s">
        <v>333</v>
      </c>
      <c r="E7" s="97" t="s">
        <v>203</v>
      </c>
      <c r="F7" s="97" t="s">
        <v>194</v>
      </c>
      <c r="G7" s="98">
        <v>46300</v>
      </c>
      <c r="H7" s="98">
        <v>46361</v>
      </c>
      <c r="I7" s="97">
        <v>6</v>
      </c>
      <c r="J7" s="97">
        <v>5</v>
      </c>
      <c r="K7" s="97">
        <v>6</v>
      </c>
      <c r="L7" s="97">
        <v>4</v>
      </c>
      <c r="M7" s="97">
        <v>22</v>
      </c>
      <c r="N7" s="97">
        <v>5</v>
      </c>
      <c r="O7" s="97">
        <v>4</v>
      </c>
      <c r="P7" s="97">
        <v>5</v>
      </c>
      <c r="Q7" s="97" t="s">
        <v>185</v>
      </c>
    </row>
    <row r="8" spans="1:17">
      <c r="A8" s="97" t="s">
        <v>204</v>
      </c>
      <c r="B8" s="97" t="s">
        <v>205</v>
      </c>
      <c r="C8" s="97" t="s">
        <v>206</v>
      </c>
      <c r="D8" s="97" t="s">
        <v>329</v>
      </c>
      <c r="E8" s="97" t="s">
        <v>207</v>
      </c>
      <c r="F8" s="97" t="s">
        <v>184</v>
      </c>
      <c r="G8" s="98">
        <v>46307</v>
      </c>
      <c r="H8" s="98">
        <v>46386</v>
      </c>
      <c r="I8" s="97">
        <v>8</v>
      </c>
      <c r="J8" s="97">
        <v>6</v>
      </c>
      <c r="K8" s="97">
        <v>7</v>
      </c>
      <c r="L8" s="97">
        <v>5</v>
      </c>
      <c r="M8" s="97">
        <v>30</v>
      </c>
      <c r="N8" s="97">
        <v>6</v>
      </c>
      <c r="O8" s="97">
        <v>4</v>
      </c>
      <c r="P8" s="97">
        <v>5</v>
      </c>
      <c r="Q8" s="97" t="s">
        <v>185</v>
      </c>
    </row>
    <row r="9" spans="1:17">
      <c r="A9" s="99" t="s">
        <v>208</v>
      </c>
      <c r="B9" s="99" t="s">
        <v>324</v>
      </c>
      <c r="C9" s="100" t="s">
        <v>206</v>
      </c>
      <c r="D9" s="100" t="s">
        <v>329</v>
      </c>
      <c r="E9" s="99" t="s">
        <v>189</v>
      </c>
      <c r="F9" s="100" t="s">
        <v>184</v>
      </c>
      <c r="G9" s="101" t="str">
        <f>'Expected Output'!B35</f>
        <v>01-Sep-2026</v>
      </c>
      <c r="H9" s="101">
        <f>'Expected Output'!D36</f>
        <v>0</v>
      </c>
      <c r="I9" s="100">
        <f>'Expected Output'!D6</f>
        <v>5</v>
      </c>
      <c r="J9" s="100">
        <f>'Expected Output'!D9</f>
        <v>5</v>
      </c>
      <c r="K9" s="100">
        <f>'Expected Output'!D11</f>
        <v>5</v>
      </c>
      <c r="L9" s="100">
        <f>'Expected Output'!D13</f>
        <v>3</v>
      </c>
      <c r="M9" s="100">
        <f>'Expected Output'!D15</f>
        <v>48</v>
      </c>
      <c r="N9" s="100">
        <f>'Expected Output'!D20</f>
        <v>2</v>
      </c>
      <c r="O9" s="100">
        <f>'Expected Output'!D23</f>
        <v>3</v>
      </c>
      <c r="P9" s="100">
        <f>'Expected Output'!D25</f>
        <v>3</v>
      </c>
      <c r="Q9" s="100" t="s">
        <v>185</v>
      </c>
    </row>
  </sheetData>
  <mergeCells count="1">
    <mergeCell ref="I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zoomScaleNormal="100" workbookViewId="0">
      <pane ySplit="1" topLeftCell="A2" activePane="bottomLeft" state="frozen"/>
      <selection pane="bottomLeft" activeCell="B4" sqref="B4"/>
    </sheetView>
  </sheetViews>
  <sheetFormatPr defaultColWidth="8.7109375" defaultRowHeight="15"/>
  <cols>
    <col min="1" max="1" width="15" customWidth="1"/>
    <col min="2" max="2" width="22" customWidth="1"/>
    <col min="3" max="3" width="20" customWidth="1"/>
    <col min="4" max="4" width="18" customWidth="1"/>
    <col min="5" max="5" width="45" customWidth="1"/>
    <col min="6" max="6" width="55" customWidth="1"/>
  </cols>
  <sheetData>
    <row r="1" spans="1:6" ht="25.5" customHeight="1">
      <c r="A1" s="1" t="s">
        <v>3</v>
      </c>
      <c r="B1" s="1" t="s">
        <v>4</v>
      </c>
      <c r="C1" s="1" t="s">
        <v>209</v>
      </c>
      <c r="D1" s="1" t="s">
        <v>210</v>
      </c>
      <c r="E1" s="1" t="s">
        <v>211</v>
      </c>
      <c r="F1" s="1" t="s">
        <v>212</v>
      </c>
    </row>
    <row r="2" spans="1:6" ht="25.5" customHeight="1">
      <c r="A2" s="4" t="s">
        <v>10</v>
      </c>
      <c r="B2" s="4" t="s">
        <v>213</v>
      </c>
      <c r="C2" s="4" t="s">
        <v>214</v>
      </c>
      <c r="D2" s="4">
        <v>8</v>
      </c>
      <c r="E2" s="4" t="s">
        <v>215</v>
      </c>
      <c r="F2" s="4" t="s">
        <v>216</v>
      </c>
    </row>
    <row r="3" spans="1:6" ht="25.5" customHeight="1">
      <c r="A3" s="4" t="s">
        <v>27</v>
      </c>
      <c r="B3" s="4" t="s">
        <v>217</v>
      </c>
      <c r="C3" s="4" t="s">
        <v>218</v>
      </c>
      <c r="D3" s="4">
        <v>8</v>
      </c>
      <c r="E3" s="4" t="s">
        <v>219</v>
      </c>
      <c r="F3" s="4" t="s">
        <v>220</v>
      </c>
    </row>
    <row r="4" spans="1:6" ht="25.5" customHeight="1">
      <c r="A4" s="4" t="s">
        <v>221</v>
      </c>
      <c r="B4" s="4" t="s">
        <v>222</v>
      </c>
      <c r="C4" s="4" t="s">
        <v>223</v>
      </c>
      <c r="D4" s="4" t="s">
        <v>223</v>
      </c>
      <c r="E4" s="4" t="s">
        <v>224</v>
      </c>
      <c r="F4" s="4" t="s">
        <v>225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BP49"/>
  <sheetViews>
    <sheetView topLeftCell="A4" zoomScaleNormal="100" workbookViewId="0">
      <selection activeCell="B10" sqref="B10"/>
    </sheetView>
  </sheetViews>
  <sheetFormatPr defaultColWidth="8.7109375" defaultRowHeight="15"/>
  <cols>
    <col min="1" max="1" width="32" bestFit="1" customWidth="1"/>
    <col min="2" max="2" width="53" customWidth="1"/>
    <col min="3" max="3" width="42.140625" bestFit="1" customWidth="1"/>
    <col min="4" max="4" width="11.42578125" bestFit="1" customWidth="1"/>
    <col min="5" max="5" width="15.28515625" customWidth="1"/>
    <col min="6" max="6" width="13.5703125" customWidth="1"/>
    <col min="7" max="67" width="3" customWidth="1"/>
  </cols>
  <sheetData>
    <row r="1" spans="1:68" ht="40.5" customHeight="1">
      <c r="A1" s="146" t="s">
        <v>336</v>
      </c>
      <c r="B1" s="147"/>
    </row>
    <row r="2" spans="1:68" ht="15" customHeight="1" thickBot="1">
      <c r="A2" s="5"/>
    </row>
    <row r="3" spans="1:68" ht="45">
      <c r="A3" s="13"/>
      <c r="B3" s="102" t="s">
        <v>336</v>
      </c>
      <c r="C3" s="14" t="s">
        <v>226</v>
      </c>
      <c r="D3" s="15" t="s">
        <v>227</v>
      </c>
      <c r="E3" s="14" t="s">
        <v>228</v>
      </c>
      <c r="F3" s="14" t="s">
        <v>229</v>
      </c>
      <c r="G3" s="176" t="s">
        <v>230</v>
      </c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7" t="s">
        <v>231</v>
      </c>
      <c r="AL3" s="177"/>
      <c r="AM3" s="177"/>
      <c r="AN3" s="177"/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177"/>
      <c r="BA3" s="177"/>
      <c r="BB3" s="177"/>
      <c r="BC3" s="177"/>
      <c r="BD3" s="177"/>
      <c r="BE3" s="177"/>
      <c r="BF3" s="177"/>
      <c r="BG3" s="177"/>
      <c r="BH3" s="177"/>
      <c r="BI3" s="177"/>
      <c r="BJ3" s="177"/>
      <c r="BK3" s="177"/>
      <c r="BL3" s="177"/>
      <c r="BM3" s="177"/>
      <c r="BN3" s="177"/>
      <c r="BO3" s="178"/>
      <c r="BP3" s="18"/>
    </row>
    <row r="4" spans="1:68" ht="27.75" customHeight="1">
      <c r="A4" s="67" t="s">
        <v>232</v>
      </c>
      <c r="B4" s="68" t="s">
        <v>233</v>
      </c>
      <c r="C4" s="67" t="s">
        <v>323</v>
      </c>
      <c r="D4" s="69" t="s">
        <v>234</v>
      </c>
      <c r="E4" s="69" t="s">
        <v>235</v>
      </c>
      <c r="F4" s="69" t="s">
        <v>235</v>
      </c>
      <c r="G4" s="70">
        <v>1</v>
      </c>
      <c r="H4" s="70">
        <v>2</v>
      </c>
      <c r="I4" s="70">
        <v>3</v>
      </c>
      <c r="J4" s="70">
        <v>4</v>
      </c>
      <c r="K4" s="70">
        <v>5</v>
      </c>
      <c r="L4" s="70">
        <v>6</v>
      </c>
      <c r="M4" s="70">
        <v>7</v>
      </c>
      <c r="N4" s="70">
        <v>8</v>
      </c>
      <c r="O4" s="70">
        <v>9</v>
      </c>
      <c r="P4" s="70">
        <v>10</v>
      </c>
      <c r="Q4" s="70">
        <v>11</v>
      </c>
      <c r="R4" s="70">
        <v>12</v>
      </c>
      <c r="S4" s="70">
        <v>13</v>
      </c>
      <c r="T4" s="70">
        <v>14</v>
      </c>
      <c r="U4" s="70">
        <v>15</v>
      </c>
      <c r="V4" s="70">
        <v>16</v>
      </c>
      <c r="W4" s="70">
        <v>17</v>
      </c>
      <c r="X4" s="70">
        <v>18</v>
      </c>
      <c r="Y4" s="70">
        <v>19</v>
      </c>
      <c r="Z4" s="70">
        <v>20</v>
      </c>
      <c r="AA4" s="70">
        <v>21</v>
      </c>
      <c r="AB4" s="70">
        <v>22</v>
      </c>
      <c r="AC4" s="70">
        <v>23</v>
      </c>
      <c r="AD4" s="70">
        <v>24</v>
      </c>
      <c r="AE4" s="70">
        <v>25</v>
      </c>
      <c r="AF4" s="70">
        <v>26</v>
      </c>
      <c r="AG4" s="70">
        <v>27</v>
      </c>
      <c r="AH4" s="70">
        <v>28</v>
      </c>
      <c r="AI4" s="70">
        <v>29</v>
      </c>
      <c r="AJ4" s="70">
        <v>30</v>
      </c>
      <c r="AK4" s="70">
        <v>1</v>
      </c>
      <c r="AL4" s="70">
        <v>2</v>
      </c>
      <c r="AM4" s="70">
        <v>3</v>
      </c>
      <c r="AN4" s="70">
        <v>4</v>
      </c>
      <c r="AO4" s="70">
        <v>5</v>
      </c>
      <c r="AP4" s="70">
        <v>6</v>
      </c>
      <c r="AQ4" s="70">
        <v>7</v>
      </c>
      <c r="AR4" s="70">
        <v>8</v>
      </c>
      <c r="AS4" s="70">
        <v>9</v>
      </c>
      <c r="AT4" s="70">
        <v>10</v>
      </c>
      <c r="AU4" s="70">
        <v>11</v>
      </c>
      <c r="AV4" s="70">
        <v>12</v>
      </c>
      <c r="AW4" s="70">
        <v>13</v>
      </c>
      <c r="AX4" s="70">
        <v>14</v>
      </c>
      <c r="AY4" s="70">
        <v>15</v>
      </c>
      <c r="AZ4" s="70">
        <v>16</v>
      </c>
      <c r="BA4" s="70">
        <v>17</v>
      </c>
      <c r="BB4" s="70">
        <v>18</v>
      </c>
      <c r="BC4" s="70">
        <v>19</v>
      </c>
      <c r="BD4" s="70">
        <v>20</v>
      </c>
      <c r="BE4" s="70">
        <v>21</v>
      </c>
      <c r="BF4" s="70">
        <v>22</v>
      </c>
      <c r="BG4" s="70">
        <v>23</v>
      </c>
      <c r="BH4" s="70">
        <v>24</v>
      </c>
      <c r="BI4" s="70">
        <v>25</v>
      </c>
      <c r="BJ4" s="70">
        <v>26</v>
      </c>
      <c r="BK4" s="70">
        <v>27</v>
      </c>
      <c r="BL4" s="70">
        <v>28</v>
      </c>
      <c r="BM4" s="70">
        <v>29</v>
      </c>
      <c r="BN4" s="70">
        <v>30</v>
      </c>
      <c r="BO4" s="71">
        <v>31</v>
      </c>
      <c r="BP4" s="72"/>
    </row>
    <row r="5" spans="1:68" ht="14.25" customHeight="1">
      <c r="A5" s="67"/>
      <c r="B5" s="68"/>
      <c r="C5" s="67"/>
      <c r="D5" s="69"/>
      <c r="E5" s="69"/>
      <c r="F5" s="69"/>
      <c r="G5" s="129" t="s">
        <v>338</v>
      </c>
      <c r="H5" s="130" t="s">
        <v>339</v>
      </c>
      <c r="I5" s="130" t="s">
        <v>338</v>
      </c>
      <c r="J5" s="131" t="s">
        <v>340</v>
      </c>
      <c r="K5" s="132" t="s">
        <v>341</v>
      </c>
      <c r="L5" s="133" t="s">
        <v>342</v>
      </c>
      <c r="M5" s="133" t="s">
        <v>343</v>
      </c>
      <c r="N5" s="129" t="s">
        <v>338</v>
      </c>
      <c r="O5" s="130" t="s">
        <v>339</v>
      </c>
      <c r="P5" s="130" t="s">
        <v>338</v>
      </c>
      <c r="Q5" s="131" t="s">
        <v>340</v>
      </c>
      <c r="R5" s="132" t="s">
        <v>341</v>
      </c>
      <c r="S5" s="133" t="s">
        <v>342</v>
      </c>
      <c r="T5" s="133" t="s">
        <v>343</v>
      </c>
      <c r="U5" s="129" t="s">
        <v>338</v>
      </c>
      <c r="V5" s="130" t="s">
        <v>339</v>
      </c>
      <c r="W5" s="130" t="s">
        <v>338</v>
      </c>
      <c r="X5" s="131" t="s">
        <v>340</v>
      </c>
      <c r="Y5" s="132" t="s">
        <v>341</v>
      </c>
      <c r="Z5" s="133" t="s">
        <v>342</v>
      </c>
      <c r="AA5" s="133" t="s">
        <v>343</v>
      </c>
      <c r="AB5" s="129" t="s">
        <v>338</v>
      </c>
      <c r="AC5" s="130" t="s">
        <v>339</v>
      </c>
      <c r="AD5" s="130" t="s">
        <v>338</v>
      </c>
      <c r="AE5" s="131" t="s">
        <v>340</v>
      </c>
      <c r="AF5" s="132" t="s">
        <v>341</v>
      </c>
      <c r="AG5" s="133" t="s">
        <v>342</v>
      </c>
      <c r="AH5" s="133" t="s">
        <v>343</v>
      </c>
      <c r="AI5" s="129" t="s">
        <v>338</v>
      </c>
      <c r="AJ5" s="130" t="s">
        <v>339</v>
      </c>
      <c r="AK5" s="130" t="s">
        <v>338</v>
      </c>
      <c r="AL5" s="131" t="s">
        <v>340</v>
      </c>
      <c r="AM5" s="132" t="s">
        <v>341</v>
      </c>
      <c r="AN5" s="133" t="s">
        <v>342</v>
      </c>
      <c r="AO5" s="133" t="s">
        <v>343</v>
      </c>
      <c r="AP5" s="129" t="s">
        <v>338</v>
      </c>
      <c r="AQ5" s="130" t="s">
        <v>339</v>
      </c>
      <c r="AR5" s="130" t="s">
        <v>338</v>
      </c>
      <c r="AS5" s="131" t="s">
        <v>340</v>
      </c>
      <c r="AT5" s="132" t="s">
        <v>341</v>
      </c>
      <c r="AU5" s="133" t="s">
        <v>342</v>
      </c>
      <c r="AV5" s="133" t="s">
        <v>343</v>
      </c>
      <c r="AW5" s="129" t="s">
        <v>338</v>
      </c>
      <c r="AX5" s="130" t="s">
        <v>339</v>
      </c>
      <c r="AY5" s="130" t="s">
        <v>338</v>
      </c>
      <c r="AZ5" s="131" t="s">
        <v>340</v>
      </c>
      <c r="BA5" s="132" t="s">
        <v>341</v>
      </c>
      <c r="BB5" s="133" t="s">
        <v>342</v>
      </c>
      <c r="BC5" s="133" t="s">
        <v>343</v>
      </c>
      <c r="BD5" s="129" t="s">
        <v>338</v>
      </c>
      <c r="BE5" s="130" t="s">
        <v>339</v>
      </c>
      <c r="BF5" s="130" t="s">
        <v>338</v>
      </c>
      <c r="BG5" s="131" t="s">
        <v>340</v>
      </c>
      <c r="BH5" s="132" t="s">
        <v>341</v>
      </c>
      <c r="BI5" s="133" t="s">
        <v>342</v>
      </c>
      <c r="BJ5" s="133" t="s">
        <v>343</v>
      </c>
      <c r="BK5" s="129" t="s">
        <v>338</v>
      </c>
      <c r="BL5" s="130" t="s">
        <v>339</v>
      </c>
      <c r="BM5" s="130" t="s">
        <v>338</v>
      </c>
      <c r="BN5" s="131" t="s">
        <v>340</v>
      </c>
      <c r="BO5" s="134" t="s">
        <v>341</v>
      </c>
      <c r="BP5" s="72"/>
    </row>
    <row r="6" spans="1:68" ht="15" customHeight="1" thickBot="1">
      <c r="A6" s="113"/>
      <c r="B6" s="20" t="s">
        <v>236</v>
      </c>
      <c r="C6" s="20" t="s">
        <v>237</v>
      </c>
      <c r="D6" s="51">
        <f>SUM(D7:D8)</f>
        <v>5</v>
      </c>
      <c r="E6" s="135" t="s">
        <v>241</v>
      </c>
      <c r="F6" s="135" t="s">
        <v>313</v>
      </c>
      <c r="G6" s="152" t="s">
        <v>8</v>
      </c>
      <c r="H6" s="153"/>
      <c r="I6" s="153"/>
      <c r="J6" s="154"/>
      <c r="K6" s="182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83"/>
      <c r="AY6" s="183"/>
      <c r="AZ6" s="183"/>
      <c r="BA6" s="183"/>
      <c r="BB6" s="183"/>
      <c r="BC6" s="183"/>
      <c r="BD6" s="183"/>
      <c r="BE6" s="183"/>
      <c r="BF6" s="183"/>
      <c r="BG6" s="183"/>
      <c r="BH6" s="183"/>
      <c r="BI6" s="183"/>
      <c r="BJ6" s="183"/>
      <c r="BK6" s="183"/>
      <c r="BL6" s="183"/>
      <c r="BM6" s="183"/>
      <c r="BN6" s="183"/>
      <c r="BO6" s="184"/>
      <c r="BP6" s="19"/>
    </row>
    <row r="7" spans="1:68" ht="15.75" customHeight="1">
      <c r="A7" s="105" t="s">
        <v>238</v>
      </c>
      <c r="B7" s="21" t="s">
        <v>239</v>
      </c>
      <c r="C7" s="6" t="s">
        <v>240</v>
      </c>
      <c r="D7" s="59">
        <v>3</v>
      </c>
      <c r="E7" s="11" t="s">
        <v>241</v>
      </c>
      <c r="F7" s="11" t="s">
        <v>242</v>
      </c>
      <c r="G7" s="38">
        <v>1</v>
      </c>
      <c r="H7" s="39">
        <v>2</v>
      </c>
      <c r="I7" s="39">
        <v>3</v>
      </c>
      <c r="J7" s="40"/>
      <c r="K7" s="41"/>
      <c r="L7" s="41"/>
      <c r="M7" s="40"/>
      <c r="N7" s="40"/>
      <c r="O7" s="40"/>
      <c r="P7" s="40"/>
      <c r="Q7" s="40"/>
      <c r="R7" s="41"/>
      <c r="S7" s="41"/>
      <c r="T7" s="40"/>
      <c r="U7" s="40"/>
      <c r="V7" s="40"/>
      <c r="W7" s="40"/>
      <c r="X7" s="40"/>
      <c r="Y7" s="41"/>
      <c r="Z7" s="41"/>
      <c r="AA7" s="40"/>
      <c r="AB7" s="40"/>
      <c r="AC7" s="40"/>
      <c r="AD7" s="40"/>
      <c r="AE7" s="40"/>
      <c r="AF7" s="41"/>
      <c r="AG7" s="41"/>
      <c r="AH7" s="40"/>
      <c r="AI7" s="40"/>
      <c r="AJ7" s="40"/>
      <c r="AK7" s="40"/>
      <c r="AL7" s="40"/>
      <c r="AM7" s="41"/>
      <c r="AN7" s="41"/>
      <c r="AO7" s="40"/>
      <c r="AP7" s="40"/>
      <c r="AQ7" s="40"/>
      <c r="AR7" s="40"/>
      <c r="AS7" s="40"/>
      <c r="AT7" s="41"/>
      <c r="AU7" s="41"/>
      <c r="AV7" s="40"/>
      <c r="AW7" s="40"/>
      <c r="AX7" s="40"/>
      <c r="AY7" s="40"/>
      <c r="AZ7" s="40"/>
      <c r="BA7" s="41"/>
      <c r="BB7" s="41"/>
      <c r="BC7" s="40"/>
      <c r="BD7" s="40"/>
      <c r="BE7" s="40"/>
      <c r="BF7" s="40"/>
      <c r="BG7" s="40"/>
      <c r="BH7" s="41"/>
      <c r="BI7" s="41"/>
      <c r="BJ7" s="40"/>
      <c r="BK7" s="40"/>
      <c r="BL7" s="40"/>
      <c r="BM7" s="40"/>
      <c r="BN7" s="40"/>
      <c r="BO7" s="41"/>
      <c r="BP7" s="17"/>
    </row>
    <row r="8" spans="1:68" ht="15.75" customHeight="1">
      <c r="A8" s="105" t="s">
        <v>243</v>
      </c>
      <c r="B8" s="21" t="s">
        <v>244</v>
      </c>
      <c r="C8" s="6" t="s">
        <v>245</v>
      </c>
      <c r="D8" s="60">
        <v>2</v>
      </c>
      <c r="E8" s="11" t="s">
        <v>242</v>
      </c>
      <c r="F8" s="11" t="s">
        <v>313</v>
      </c>
      <c r="G8" s="42"/>
      <c r="H8" s="42"/>
      <c r="I8" s="38">
        <v>4</v>
      </c>
      <c r="J8" s="38">
        <v>5</v>
      </c>
      <c r="K8" s="43"/>
      <c r="L8" s="43"/>
      <c r="M8" s="42"/>
      <c r="N8" s="42"/>
      <c r="O8" s="42"/>
      <c r="P8" s="42"/>
      <c r="Q8" s="42"/>
      <c r="R8" s="43"/>
      <c r="S8" s="43"/>
      <c r="T8" s="42"/>
      <c r="U8" s="42"/>
      <c r="V8" s="42"/>
      <c r="W8" s="42"/>
      <c r="X8" s="42"/>
      <c r="Y8" s="43"/>
      <c r="Z8" s="43"/>
      <c r="AA8" s="42"/>
      <c r="AB8" s="42"/>
      <c r="AC8" s="42"/>
      <c r="AD8" s="42"/>
      <c r="AE8" s="42"/>
      <c r="AF8" s="43"/>
      <c r="AG8" s="43"/>
      <c r="AH8" s="42"/>
      <c r="AI8" s="42"/>
      <c r="AJ8" s="42"/>
      <c r="AK8" s="42"/>
      <c r="AL8" s="42"/>
      <c r="AM8" s="43"/>
      <c r="AN8" s="43"/>
      <c r="AO8" s="42"/>
      <c r="AP8" s="42"/>
      <c r="AQ8" s="42"/>
      <c r="AR8" s="42"/>
      <c r="AS8" s="42"/>
      <c r="AT8" s="43"/>
      <c r="AU8" s="43"/>
      <c r="AV8" s="42"/>
      <c r="AW8" s="42"/>
      <c r="AX8" s="42"/>
      <c r="AY8" s="42"/>
      <c r="AZ8" s="42"/>
      <c r="BA8" s="43"/>
      <c r="BB8" s="43"/>
      <c r="BC8" s="42"/>
      <c r="BD8" s="42"/>
      <c r="BE8" s="42"/>
      <c r="BF8" s="42"/>
      <c r="BG8" s="42"/>
      <c r="BH8" s="43"/>
      <c r="BI8" s="43"/>
      <c r="BJ8" s="42"/>
      <c r="BK8" s="42"/>
      <c r="BL8" s="42"/>
      <c r="BM8" s="42"/>
      <c r="BN8" s="42"/>
      <c r="BO8" s="43"/>
      <c r="BP8" s="17"/>
    </row>
    <row r="9" spans="1:68" ht="15.75" customHeight="1">
      <c r="A9" s="106"/>
      <c r="B9" s="22" t="s">
        <v>246</v>
      </c>
      <c r="C9" s="22" t="s">
        <v>247</v>
      </c>
      <c r="D9" s="52">
        <f>SUM(D10)</f>
        <v>5</v>
      </c>
      <c r="E9" s="136">
        <v>46272</v>
      </c>
      <c r="F9" s="136">
        <v>46276</v>
      </c>
      <c r="G9" s="170"/>
      <c r="H9" s="171"/>
      <c r="I9" s="171"/>
      <c r="J9" s="171"/>
      <c r="K9" s="171"/>
      <c r="L9" s="172"/>
      <c r="M9" s="155" t="s">
        <v>16</v>
      </c>
      <c r="N9" s="156"/>
      <c r="O9" s="156"/>
      <c r="P9" s="156"/>
      <c r="Q9" s="157"/>
      <c r="R9" s="170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  <c r="AN9" s="171"/>
      <c r="AO9" s="171"/>
      <c r="AP9" s="171"/>
      <c r="AQ9" s="171"/>
      <c r="AR9" s="171"/>
      <c r="AS9" s="171"/>
      <c r="AT9" s="171"/>
      <c r="AU9" s="171"/>
      <c r="AV9" s="171"/>
      <c r="AW9" s="171"/>
      <c r="AX9" s="171"/>
      <c r="AY9" s="171"/>
      <c r="AZ9" s="171"/>
      <c r="BA9" s="171"/>
      <c r="BB9" s="171"/>
      <c r="BC9" s="171"/>
      <c r="BD9" s="171"/>
      <c r="BE9" s="171"/>
      <c r="BF9" s="171"/>
      <c r="BG9" s="171"/>
      <c r="BH9" s="171"/>
      <c r="BI9" s="171"/>
      <c r="BJ9" s="171"/>
      <c r="BK9" s="171"/>
      <c r="BL9" s="171"/>
      <c r="BM9" s="171"/>
      <c r="BN9" s="171"/>
      <c r="BO9" s="172"/>
      <c r="BP9" s="17"/>
    </row>
    <row r="10" spans="1:68" ht="15" customHeight="1">
      <c r="A10" s="105" t="s">
        <v>248</v>
      </c>
      <c r="B10" s="6" t="s">
        <v>249</v>
      </c>
      <c r="C10" s="6" t="s">
        <v>250</v>
      </c>
      <c r="D10" s="26">
        <v>5</v>
      </c>
      <c r="E10" s="137" t="s">
        <v>251</v>
      </c>
      <c r="F10" s="11">
        <v>46276</v>
      </c>
      <c r="G10" s="34"/>
      <c r="H10" s="34"/>
      <c r="I10" s="34"/>
      <c r="J10" s="34"/>
      <c r="K10" s="35"/>
      <c r="L10" s="35"/>
      <c r="M10" s="36">
        <v>6</v>
      </c>
      <c r="N10" s="36">
        <v>7</v>
      </c>
      <c r="O10" s="36">
        <v>8</v>
      </c>
      <c r="P10" s="36">
        <v>9</v>
      </c>
      <c r="Q10" s="36">
        <v>10</v>
      </c>
      <c r="R10" s="35"/>
      <c r="S10" s="35"/>
      <c r="T10" s="34"/>
      <c r="U10" s="34"/>
      <c r="V10" s="34"/>
      <c r="W10" s="34"/>
      <c r="X10" s="34"/>
      <c r="Y10" s="35"/>
      <c r="Z10" s="35"/>
      <c r="AA10" s="34"/>
      <c r="AB10" s="34"/>
      <c r="AC10" s="34"/>
      <c r="AD10" s="34"/>
      <c r="AE10" s="34"/>
      <c r="AF10" s="35"/>
      <c r="AG10" s="35"/>
      <c r="AH10" s="34"/>
      <c r="AI10" s="34"/>
      <c r="AJ10" s="34"/>
      <c r="AK10" s="34"/>
      <c r="AL10" s="34"/>
      <c r="AM10" s="35"/>
      <c r="AN10" s="35"/>
      <c r="AO10" s="34"/>
      <c r="AP10" s="34"/>
      <c r="AQ10" s="34"/>
      <c r="AR10" s="34"/>
      <c r="AS10" s="34"/>
      <c r="AT10" s="35"/>
      <c r="AU10" s="35"/>
      <c r="AV10" s="34"/>
      <c r="AW10" s="34"/>
      <c r="AX10" s="34"/>
      <c r="AY10" s="34"/>
      <c r="AZ10" s="34"/>
      <c r="BA10" s="35"/>
      <c r="BB10" s="35"/>
      <c r="BC10" s="34"/>
      <c r="BD10" s="34"/>
      <c r="BE10" s="34"/>
      <c r="BF10" s="34"/>
      <c r="BG10" s="34"/>
      <c r="BH10" s="35"/>
      <c r="BI10" s="35"/>
      <c r="BJ10" s="34"/>
      <c r="BK10" s="34"/>
      <c r="BL10" s="34"/>
      <c r="BM10" s="34"/>
      <c r="BN10" s="34"/>
      <c r="BO10" s="35"/>
      <c r="BP10" s="16"/>
    </row>
    <row r="11" spans="1:68" ht="15.75" customHeight="1">
      <c r="A11" s="107"/>
      <c r="B11" s="23" t="s">
        <v>252</v>
      </c>
      <c r="C11" s="23" t="s">
        <v>253</v>
      </c>
      <c r="D11" s="53">
        <f>SUM(D12)</f>
        <v>5</v>
      </c>
      <c r="E11" s="138" t="s">
        <v>314</v>
      </c>
      <c r="F11" s="138" t="s">
        <v>258</v>
      </c>
      <c r="G11" s="170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2"/>
      <c r="T11" s="158" t="s">
        <v>19</v>
      </c>
      <c r="U11" s="159"/>
      <c r="V11" s="159"/>
      <c r="W11" s="159"/>
      <c r="X11" s="160"/>
      <c r="Y11" s="170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2"/>
      <c r="BP11" s="17"/>
    </row>
    <row r="12" spans="1:68" ht="15.75" customHeight="1">
      <c r="A12" s="105" t="s">
        <v>254</v>
      </c>
      <c r="B12" s="21" t="s">
        <v>255</v>
      </c>
      <c r="C12" s="6" t="s">
        <v>256</v>
      </c>
      <c r="D12" s="7">
        <v>5</v>
      </c>
      <c r="E12" s="11" t="s">
        <v>257</v>
      </c>
      <c r="F12" s="11" t="s">
        <v>258</v>
      </c>
      <c r="G12" s="42"/>
      <c r="H12" s="42"/>
      <c r="I12" s="42"/>
      <c r="J12" s="42"/>
      <c r="K12" s="43"/>
      <c r="L12" s="43"/>
      <c r="M12" s="42"/>
      <c r="N12" s="42"/>
      <c r="O12" s="42"/>
      <c r="P12" s="42"/>
      <c r="Q12" s="42"/>
      <c r="R12" s="43"/>
      <c r="S12" s="43"/>
      <c r="T12" s="44">
        <v>11</v>
      </c>
      <c r="U12" s="44">
        <v>12</v>
      </c>
      <c r="V12" s="44">
        <v>13</v>
      </c>
      <c r="W12" s="44">
        <v>14</v>
      </c>
      <c r="X12" s="44">
        <v>15</v>
      </c>
      <c r="Y12" s="43"/>
      <c r="Z12" s="43"/>
      <c r="AA12" s="42"/>
      <c r="AB12" s="42"/>
      <c r="AC12" s="42"/>
      <c r="AD12" s="42"/>
      <c r="AE12" s="42"/>
      <c r="AF12" s="43"/>
      <c r="AG12" s="43"/>
      <c r="AH12" s="42"/>
      <c r="AI12" s="42"/>
      <c r="AJ12" s="42"/>
      <c r="AK12" s="42"/>
      <c r="AL12" s="42"/>
      <c r="AM12" s="43"/>
      <c r="AN12" s="43"/>
      <c r="AO12" s="42"/>
      <c r="AP12" s="42"/>
      <c r="AQ12" s="42"/>
      <c r="AR12" s="42"/>
      <c r="AS12" s="42"/>
      <c r="AT12" s="43"/>
      <c r="AU12" s="43"/>
      <c r="AV12" s="42"/>
      <c r="AW12" s="42"/>
      <c r="AX12" s="42"/>
      <c r="AY12" s="42"/>
      <c r="AZ12" s="42"/>
      <c r="BA12" s="43"/>
      <c r="BB12" s="43"/>
      <c r="BC12" s="42"/>
      <c r="BD12" s="42"/>
      <c r="BE12" s="42"/>
      <c r="BF12" s="42"/>
      <c r="BG12" s="42"/>
      <c r="BH12" s="43"/>
      <c r="BI12" s="43"/>
      <c r="BJ12" s="42"/>
      <c r="BK12" s="42"/>
      <c r="BL12" s="42"/>
      <c r="BM12" s="42"/>
      <c r="BN12" s="42"/>
      <c r="BO12" s="43"/>
      <c r="BP12" s="17"/>
    </row>
    <row r="13" spans="1:68" ht="15" customHeight="1">
      <c r="A13" s="108"/>
      <c r="B13" s="24" t="s">
        <v>259</v>
      </c>
      <c r="C13" s="24" t="s">
        <v>260</v>
      </c>
      <c r="D13" s="54">
        <v>3</v>
      </c>
      <c r="E13" s="139" t="s">
        <v>315</v>
      </c>
      <c r="F13" s="139" t="s">
        <v>271</v>
      </c>
      <c r="G13" s="170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2"/>
      <c r="AA13" s="161" t="s">
        <v>22</v>
      </c>
      <c r="AB13" s="162"/>
      <c r="AC13" s="163"/>
      <c r="AD13" s="170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1"/>
      <c r="BA13" s="171"/>
      <c r="BB13" s="171"/>
      <c r="BC13" s="171"/>
      <c r="BD13" s="171"/>
      <c r="BE13" s="171"/>
      <c r="BF13" s="171"/>
      <c r="BG13" s="171"/>
      <c r="BH13" s="171"/>
      <c r="BI13" s="171"/>
      <c r="BJ13" s="171"/>
      <c r="BK13" s="171"/>
      <c r="BL13" s="171"/>
      <c r="BM13" s="171"/>
      <c r="BN13" s="171"/>
      <c r="BO13" s="172"/>
      <c r="BP13" s="16"/>
    </row>
    <row r="14" spans="1:68" ht="15.75" customHeight="1">
      <c r="A14" s="105" t="s">
        <v>261</v>
      </c>
      <c r="B14" s="21" t="s">
        <v>262</v>
      </c>
      <c r="C14" s="6" t="s">
        <v>263</v>
      </c>
      <c r="D14" s="25">
        <v>3</v>
      </c>
      <c r="E14" s="11" t="s">
        <v>315</v>
      </c>
      <c r="F14" s="11" t="s">
        <v>271</v>
      </c>
      <c r="G14" s="42"/>
      <c r="H14" s="42"/>
      <c r="I14" s="42"/>
      <c r="J14" s="42"/>
      <c r="K14" s="43"/>
      <c r="L14" s="43"/>
      <c r="M14" s="42"/>
      <c r="N14" s="42"/>
      <c r="O14" s="42"/>
      <c r="P14" s="42"/>
      <c r="Q14" s="42"/>
      <c r="R14" s="43"/>
      <c r="S14" s="43"/>
      <c r="T14" s="42"/>
      <c r="U14" s="42"/>
      <c r="V14" s="42"/>
      <c r="W14" s="42"/>
      <c r="X14" s="42"/>
      <c r="Y14" s="43"/>
      <c r="Z14" s="43"/>
      <c r="AA14" s="45">
        <v>16</v>
      </c>
      <c r="AB14" s="45">
        <v>17</v>
      </c>
      <c r="AC14" s="45">
        <v>18</v>
      </c>
      <c r="AD14" s="42"/>
      <c r="AE14" s="42"/>
      <c r="AF14" s="43"/>
      <c r="AG14" s="43"/>
      <c r="AH14" s="42"/>
      <c r="AI14" s="42"/>
      <c r="AJ14" s="42"/>
      <c r="AK14" s="42"/>
      <c r="AL14" s="42"/>
      <c r="AM14" s="43"/>
      <c r="AN14" s="43"/>
      <c r="AO14" s="42"/>
      <c r="AP14" s="42"/>
      <c r="AQ14" s="42"/>
      <c r="AR14" s="42"/>
      <c r="AS14" s="42"/>
      <c r="AT14" s="43"/>
      <c r="AU14" s="43"/>
      <c r="AV14" s="42"/>
      <c r="AW14" s="42"/>
      <c r="AX14" s="42"/>
      <c r="AY14" s="42"/>
      <c r="AZ14" s="42"/>
      <c r="BA14" s="43"/>
      <c r="BB14" s="43"/>
      <c r="BC14" s="42"/>
      <c r="BD14" s="42"/>
      <c r="BE14" s="42"/>
      <c r="BF14" s="42"/>
      <c r="BG14" s="42"/>
      <c r="BH14" s="43"/>
      <c r="BI14" s="43"/>
      <c r="BJ14" s="42"/>
      <c r="BK14" s="42"/>
      <c r="BL14" s="42"/>
      <c r="BM14" s="42"/>
      <c r="BN14" s="42"/>
      <c r="BO14" s="43"/>
      <c r="BP14" s="17"/>
    </row>
    <row r="15" spans="1:68" s="29" customFormat="1" ht="15.75" customHeight="1">
      <c r="A15" s="109"/>
      <c r="B15" s="32" t="s">
        <v>266</v>
      </c>
      <c r="C15" s="32" t="s">
        <v>267</v>
      </c>
      <c r="D15" s="55">
        <f>SUM(D16:D19)</f>
        <v>48</v>
      </c>
      <c r="E15" s="140" t="s">
        <v>264</v>
      </c>
      <c r="F15" s="140" t="s">
        <v>265</v>
      </c>
      <c r="G15" s="170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2"/>
      <c r="AD15" s="149" t="s">
        <v>25</v>
      </c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0"/>
      <c r="AX15" s="150"/>
      <c r="AY15" s="150"/>
      <c r="AZ15" s="150"/>
      <c r="BA15" s="150"/>
      <c r="BB15" s="150"/>
      <c r="BC15" s="150"/>
      <c r="BD15" s="150"/>
      <c r="BE15" s="150"/>
      <c r="BF15" s="150"/>
      <c r="BG15" s="150"/>
      <c r="BH15" s="151"/>
      <c r="BI15" s="170"/>
      <c r="BJ15" s="171"/>
      <c r="BK15" s="171"/>
      <c r="BL15" s="171"/>
      <c r="BM15" s="171"/>
      <c r="BN15" s="171"/>
      <c r="BO15" s="172"/>
      <c r="BP15" s="28"/>
    </row>
    <row r="16" spans="1:68" ht="15" customHeight="1">
      <c r="A16" s="105" t="s">
        <v>268</v>
      </c>
      <c r="B16" s="21" t="s">
        <v>269</v>
      </c>
      <c r="C16" s="6" t="s">
        <v>270</v>
      </c>
      <c r="D16" s="26">
        <v>15</v>
      </c>
      <c r="E16" s="11" t="s">
        <v>271</v>
      </c>
      <c r="F16" s="11">
        <v>46305</v>
      </c>
      <c r="G16" s="34"/>
      <c r="H16" s="34"/>
      <c r="I16" s="34"/>
      <c r="J16" s="34"/>
      <c r="K16" s="34"/>
      <c r="L16" s="35"/>
      <c r="M16" s="34"/>
      <c r="N16" s="34"/>
      <c r="O16" s="34"/>
      <c r="P16" s="34"/>
      <c r="Q16" s="34"/>
      <c r="R16" s="34"/>
      <c r="S16" s="35"/>
      <c r="T16" s="34"/>
      <c r="U16" s="34"/>
      <c r="V16" s="34"/>
      <c r="W16" s="34"/>
      <c r="X16" s="34"/>
      <c r="Y16" s="34"/>
      <c r="Z16" s="35"/>
      <c r="AA16" s="34"/>
      <c r="AB16" s="34"/>
      <c r="AC16" s="34"/>
      <c r="AD16" s="37">
        <v>19</v>
      </c>
      <c r="AE16" s="37">
        <v>20</v>
      </c>
      <c r="AF16" s="37">
        <v>21</v>
      </c>
      <c r="AG16" s="35"/>
      <c r="AH16" s="37">
        <v>22</v>
      </c>
      <c r="AI16" s="37">
        <v>23</v>
      </c>
      <c r="AJ16" s="37">
        <v>24</v>
      </c>
      <c r="AK16" s="37">
        <v>25</v>
      </c>
      <c r="AL16" s="37">
        <v>26</v>
      </c>
      <c r="AM16" s="37">
        <v>27</v>
      </c>
      <c r="AN16" s="35"/>
      <c r="AO16" s="37">
        <v>28</v>
      </c>
      <c r="AP16" s="37">
        <v>29</v>
      </c>
      <c r="AQ16" s="37">
        <v>30</v>
      </c>
      <c r="AR16" s="37">
        <v>31</v>
      </c>
      <c r="AS16" s="37">
        <v>32</v>
      </c>
      <c r="AT16" s="37">
        <v>33</v>
      </c>
      <c r="AU16" s="35"/>
      <c r="AV16" s="34"/>
      <c r="AW16" s="34"/>
      <c r="AX16" s="34"/>
      <c r="AY16" s="34"/>
      <c r="AZ16" s="34"/>
      <c r="BA16" s="34"/>
      <c r="BB16" s="35"/>
      <c r="BC16" s="34"/>
      <c r="BD16" s="34"/>
      <c r="BE16" s="34"/>
      <c r="BF16" s="34"/>
      <c r="BG16" s="34"/>
      <c r="BH16" s="34"/>
      <c r="BI16" s="35"/>
      <c r="BJ16" s="34"/>
      <c r="BK16" s="34"/>
      <c r="BL16" s="34"/>
      <c r="BM16" s="34"/>
      <c r="BN16" s="34"/>
      <c r="BO16" s="34"/>
      <c r="BP16" s="16"/>
    </row>
    <row r="17" spans="1:68" ht="15.75" customHeight="1">
      <c r="A17" s="105" t="s">
        <v>272</v>
      </c>
      <c r="B17" s="21" t="s">
        <v>273</v>
      </c>
      <c r="C17" s="6" t="s">
        <v>274</v>
      </c>
      <c r="D17" s="7">
        <v>10</v>
      </c>
      <c r="E17" s="11" t="s">
        <v>271</v>
      </c>
      <c r="F17" s="11">
        <v>46300</v>
      </c>
      <c r="G17" s="42"/>
      <c r="H17" s="42"/>
      <c r="I17" s="42"/>
      <c r="J17" s="42"/>
      <c r="K17" s="42"/>
      <c r="L17" s="43"/>
      <c r="M17" s="42"/>
      <c r="N17" s="42"/>
      <c r="O17" s="42"/>
      <c r="P17" s="42"/>
      <c r="Q17" s="42"/>
      <c r="R17" s="42"/>
      <c r="S17" s="43"/>
      <c r="T17" s="42"/>
      <c r="U17" s="42"/>
      <c r="V17" s="42"/>
      <c r="W17" s="42"/>
      <c r="X17" s="42"/>
      <c r="Y17" s="42"/>
      <c r="Z17" s="43"/>
      <c r="AA17" s="42"/>
      <c r="AB17" s="42"/>
      <c r="AC17" s="42"/>
      <c r="AD17" s="37">
        <v>19</v>
      </c>
      <c r="AE17" s="37">
        <v>20</v>
      </c>
      <c r="AF17" s="37">
        <v>21</v>
      </c>
      <c r="AG17" s="35"/>
      <c r="AH17" s="37">
        <v>22</v>
      </c>
      <c r="AI17" s="37">
        <v>23</v>
      </c>
      <c r="AJ17" s="37">
        <v>24</v>
      </c>
      <c r="AK17" s="37">
        <v>25</v>
      </c>
      <c r="AL17" s="37">
        <v>26</v>
      </c>
      <c r="AM17" s="37">
        <v>27</v>
      </c>
      <c r="AN17" s="35"/>
      <c r="AO17" s="37">
        <v>28</v>
      </c>
      <c r="AP17" s="42"/>
      <c r="AQ17" s="42"/>
      <c r="AR17" s="42"/>
      <c r="AS17" s="42"/>
      <c r="AT17" s="42"/>
      <c r="AU17" s="43"/>
      <c r="AV17" s="42"/>
      <c r="AW17" s="42"/>
      <c r="AX17" s="42"/>
      <c r="AY17" s="42"/>
      <c r="AZ17" s="42"/>
      <c r="BA17" s="42"/>
      <c r="BB17" s="43"/>
      <c r="BC17" s="42"/>
      <c r="BD17" s="42"/>
      <c r="BE17" s="42"/>
      <c r="BF17" s="42"/>
      <c r="BG17" s="42"/>
      <c r="BH17" s="42"/>
      <c r="BI17" s="43"/>
      <c r="BJ17" s="42"/>
      <c r="BK17" s="42"/>
      <c r="BL17" s="42"/>
      <c r="BM17" s="42"/>
      <c r="BN17" s="42"/>
      <c r="BO17" s="42"/>
      <c r="BP17" s="17"/>
    </row>
    <row r="18" spans="1:68" ht="15.75" customHeight="1">
      <c r="A18" s="105" t="s">
        <v>275</v>
      </c>
      <c r="B18" s="21" t="s">
        <v>276</v>
      </c>
      <c r="C18" s="6" t="s">
        <v>277</v>
      </c>
      <c r="D18" s="7">
        <v>11</v>
      </c>
      <c r="E18" s="11" t="s">
        <v>278</v>
      </c>
      <c r="F18" s="11" t="s">
        <v>279</v>
      </c>
      <c r="G18" s="42"/>
      <c r="H18" s="42"/>
      <c r="I18" s="42"/>
      <c r="J18" s="42"/>
      <c r="K18" s="42"/>
      <c r="L18" s="43"/>
      <c r="M18" s="42"/>
      <c r="N18" s="42"/>
      <c r="O18" s="42"/>
      <c r="P18" s="42"/>
      <c r="Q18" s="42"/>
      <c r="R18" s="42"/>
      <c r="S18" s="43"/>
      <c r="T18" s="42"/>
      <c r="U18" s="42"/>
      <c r="V18" s="42"/>
      <c r="W18" s="42"/>
      <c r="X18" s="42"/>
      <c r="Y18" s="42"/>
      <c r="Z18" s="43"/>
      <c r="AA18" s="42"/>
      <c r="AB18" s="42"/>
      <c r="AC18" s="42"/>
      <c r="AD18" s="42"/>
      <c r="AE18" s="42"/>
      <c r="AF18" s="42"/>
      <c r="AG18" s="43"/>
      <c r="AH18" s="42"/>
      <c r="AI18" s="42"/>
      <c r="AJ18" s="42"/>
      <c r="AK18" s="42"/>
      <c r="AL18" s="42"/>
      <c r="AM18" s="42"/>
      <c r="AN18" s="43"/>
      <c r="AO18" s="42"/>
      <c r="AP18" s="46">
        <v>29</v>
      </c>
      <c r="AQ18" s="46">
        <v>30</v>
      </c>
      <c r="AR18" s="46">
        <v>31</v>
      </c>
      <c r="AS18" s="46">
        <v>32</v>
      </c>
      <c r="AT18" s="46">
        <v>33</v>
      </c>
      <c r="AU18" s="43"/>
      <c r="AV18" s="46">
        <v>34</v>
      </c>
      <c r="AW18" s="46">
        <v>35</v>
      </c>
      <c r="AX18" s="46">
        <v>36</v>
      </c>
      <c r="AY18" s="46">
        <v>37</v>
      </c>
      <c r="AZ18" s="46">
        <v>38</v>
      </c>
      <c r="BA18" s="46">
        <v>39</v>
      </c>
      <c r="BB18" s="43"/>
      <c r="BC18" s="42"/>
      <c r="BD18" s="42"/>
      <c r="BE18" s="42"/>
      <c r="BF18" s="42"/>
      <c r="BG18" s="42"/>
      <c r="BH18" s="42"/>
      <c r="BI18" s="43"/>
      <c r="BJ18" s="42"/>
      <c r="BK18" s="42"/>
      <c r="BL18" s="42"/>
      <c r="BM18" s="42"/>
      <c r="BN18" s="42"/>
      <c r="BO18" s="42"/>
      <c r="BP18" s="17"/>
    </row>
    <row r="19" spans="1:68" ht="15.75" customHeight="1">
      <c r="A19" s="105" t="s">
        <v>280</v>
      </c>
      <c r="B19" s="21" t="s">
        <v>281</v>
      </c>
      <c r="C19" s="6" t="s">
        <v>282</v>
      </c>
      <c r="D19" s="7">
        <v>12</v>
      </c>
      <c r="E19" s="11" t="s">
        <v>283</v>
      </c>
      <c r="F19" s="11" t="s">
        <v>284</v>
      </c>
      <c r="G19" s="42"/>
      <c r="H19" s="42"/>
      <c r="I19" s="42"/>
      <c r="J19" s="42"/>
      <c r="K19" s="42"/>
      <c r="L19" s="43"/>
      <c r="M19" s="42"/>
      <c r="N19" s="42"/>
      <c r="O19" s="42"/>
      <c r="P19" s="42"/>
      <c r="Q19" s="42"/>
      <c r="R19" s="42"/>
      <c r="S19" s="43"/>
      <c r="T19" s="42"/>
      <c r="U19" s="42"/>
      <c r="V19" s="42"/>
      <c r="W19" s="42"/>
      <c r="X19" s="42"/>
      <c r="Y19" s="42"/>
      <c r="Z19" s="43"/>
      <c r="AA19" s="42"/>
      <c r="AB19" s="42"/>
      <c r="AC19" s="42"/>
      <c r="AD19" s="42"/>
      <c r="AE19" s="42"/>
      <c r="AF19" s="42"/>
      <c r="AG19" s="43"/>
      <c r="AH19" s="42"/>
      <c r="AI19" s="42"/>
      <c r="AJ19" s="42"/>
      <c r="AK19" s="42"/>
      <c r="AL19" s="42"/>
      <c r="AM19" s="42"/>
      <c r="AN19" s="43"/>
      <c r="AO19" s="42"/>
      <c r="AP19" s="42"/>
      <c r="AQ19" s="42"/>
      <c r="AR19" s="42"/>
      <c r="AS19" s="42"/>
      <c r="AT19" s="42"/>
      <c r="AU19" s="43"/>
      <c r="AV19" s="46">
        <v>34</v>
      </c>
      <c r="AW19" s="46">
        <v>35</v>
      </c>
      <c r="AX19" s="46">
        <v>36</v>
      </c>
      <c r="AY19" s="46">
        <v>37</v>
      </c>
      <c r="AZ19" s="46">
        <v>38</v>
      </c>
      <c r="BA19" s="46">
        <v>39</v>
      </c>
      <c r="BB19" s="43"/>
      <c r="BC19" s="46">
        <v>40</v>
      </c>
      <c r="BD19" s="46">
        <v>41</v>
      </c>
      <c r="BE19" s="46">
        <v>42</v>
      </c>
      <c r="BF19" s="46">
        <v>43</v>
      </c>
      <c r="BG19" s="46">
        <v>44</v>
      </c>
      <c r="BH19" s="46">
        <v>45</v>
      </c>
      <c r="BI19" s="43"/>
      <c r="BJ19" s="42"/>
      <c r="BK19" s="42"/>
      <c r="BL19" s="42"/>
      <c r="BM19" s="42"/>
      <c r="BN19" s="42"/>
      <c r="BO19" s="42"/>
      <c r="BP19" s="17"/>
    </row>
    <row r="20" spans="1:68" s="29" customFormat="1" ht="15.75" customHeight="1">
      <c r="A20" s="110"/>
      <c r="B20" s="31" t="s">
        <v>285</v>
      </c>
      <c r="C20" s="31" t="s">
        <v>286</v>
      </c>
      <c r="D20" s="56">
        <f>SUM(D21:D22)</f>
        <v>2</v>
      </c>
      <c r="E20" s="141" t="s">
        <v>290</v>
      </c>
      <c r="F20" s="141" t="s">
        <v>299</v>
      </c>
      <c r="G20" s="170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1"/>
      <c r="BA20" s="171"/>
      <c r="BB20" s="171"/>
      <c r="BC20" s="171"/>
      <c r="BD20" s="171"/>
      <c r="BE20" s="171"/>
      <c r="BF20" s="171"/>
      <c r="BG20" s="172"/>
      <c r="BH20" s="164" t="s">
        <v>337</v>
      </c>
      <c r="BI20" s="165"/>
      <c r="BJ20" s="166"/>
      <c r="BK20" s="170"/>
      <c r="BL20" s="171"/>
      <c r="BM20" s="171"/>
      <c r="BN20" s="171"/>
      <c r="BO20" s="172"/>
      <c r="BP20" s="28"/>
    </row>
    <row r="21" spans="1:68" ht="15.75" customHeight="1">
      <c r="A21" s="105" t="s">
        <v>287</v>
      </c>
      <c r="B21" s="21" t="s">
        <v>288</v>
      </c>
      <c r="C21" s="9" t="s">
        <v>289</v>
      </c>
      <c r="D21" s="7">
        <v>1</v>
      </c>
      <c r="E21" s="11" t="s">
        <v>290</v>
      </c>
      <c r="F21" s="11" t="s">
        <v>290</v>
      </c>
      <c r="G21" s="42"/>
      <c r="H21" s="42"/>
      <c r="I21" s="42"/>
      <c r="J21" s="42"/>
      <c r="K21" s="42"/>
      <c r="L21" s="43"/>
      <c r="M21" s="42"/>
      <c r="N21" s="42"/>
      <c r="O21" s="42"/>
      <c r="P21" s="42"/>
      <c r="Q21" s="42"/>
      <c r="R21" s="42"/>
      <c r="S21" s="43"/>
      <c r="T21" s="42"/>
      <c r="U21" s="42"/>
      <c r="V21" s="42"/>
      <c r="W21" s="42"/>
      <c r="X21" s="42"/>
      <c r="Y21" s="42"/>
      <c r="Z21" s="43"/>
      <c r="AA21" s="42"/>
      <c r="AB21" s="42"/>
      <c r="AC21" s="42"/>
      <c r="AD21" s="42"/>
      <c r="AE21" s="42"/>
      <c r="AF21" s="42"/>
      <c r="AG21" s="43"/>
      <c r="AH21" s="42"/>
      <c r="AI21" s="42"/>
      <c r="AJ21" s="42"/>
      <c r="AK21" s="42"/>
      <c r="AL21" s="42"/>
      <c r="AM21" s="42"/>
      <c r="AN21" s="43"/>
      <c r="AO21" s="42"/>
      <c r="AP21" s="42"/>
      <c r="AQ21" s="42"/>
      <c r="AR21" s="42"/>
      <c r="AS21" s="42"/>
      <c r="AT21" s="42"/>
      <c r="AU21" s="43"/>
      <c r="AV21" s="42"/>
      <c r="AW21" s="42"/>
      <c r="AX21" s="42"/>
      <c r="AY21" s="42"/>
      <c r="AZ21" s="42"/>
      <c r="BA21" s="42"/>
      <c r="BB21" s="43"/>
      <c r="BC21" s="42"/>
      <c r="BD21" s="42"/>
      <c r="BE21" s="42"/>
      <c r="BF21" s="42"/>
      <c r="BG21" s="42"/>
      <c r="BH21" s="47">
        <v>45</v>
      </c>
      <c r="BI21" s="43"/>
      <c r="BJ21" s="42"/>
      <c r="BK21" s="42"/>
      <c r="BL21" s="42"/>
      <c r="BM21" s="42"/>
      <c r="BN21" s="42"/>
      <c r="BO21" s="42"/>
      <c r="BP21" s="17"/>
    </row>
    <row r="22" spans="1:68" ht="15.75" customHeight="1">
      <c r="A22" s="105" t="s">
        <v>291</v>
      </c>
      <c r="B22" s="21" t="s">
        <v>292</v>
      </c>
      <c r="C22" s="9" t="s">
        <v>293</v>
      </c>
      <c r="D22" s="7">
        <v>1</v>
      </c>
      <c r="E22" s="11" t="s">
        <v>299</v>
      </c>
      <c r="F22" s="11" t="s">
        <v>299</v>
      </c>
      <c r="G22" s="42"/>
      <c r="H22" s="42"/>
      <c r="I22" s="42"/>
      <c r="J22" s="42"/>
      <c r="K22" s="43"/>
      <c r="L22" s="43"/>
      <c r="M22" s="42"/>
      <c r="N22" s="42"/>
      <c r="O22" s="42"/>
      <c r="P22" s="42"/>
      <c r="Q22" s="42"/>
      <c r="R22" s="43"/>
      <c r="S22" s="43"/>
      <c r="T22" s="42"/>
      <c r="U22" s="42"/>
      <c r="V22" s="42"/>
      <c r="W22" s="42"/>
      <c r="X22" s="42"/>
      <c r="Y22" s="43"/>
      <c r="Z22" s="43"/>
      <c r="AA22" s="42"/>
      <c r="AB22" s="42"/>
      <c r="AC22" s="42"/>
      <c r="AD22" s="42"/>
      <c r="AE22" s="42"/>
      <c r="AF22" s="43"/>
      <c r="AG22" s="43"/>
      <c r="AH22" s="42"/>
      <c r="AI22" s="42"/>
      <c r="AJ22" s="42"/>
      <c r="AK22" s="42"/>
      <c r="AL22" s="42"/>
      <c r="AM22" s="43"/>
      <c r="AN22" s="43"/>
      <c r="AO22" s="42"/>
      <c r="AP22" s="42"/>
      <c r="AQ22" s="42"/>
      <c r="AR22" s="42"/>
      <c r="AS22" s="42"/>
      <c r="AT22" s="43"/>
      <c r="AU22" s="43"/>
      <c r="AV22" s="42"/>
      <c r="AW22" s="42"/>
      <c r="AX22" s="42"/>
      <c r="AY22" s="42"/>
      <c r="AZ22" s="42"/>
      <c r="BA22" s="43"/>
      <c r="BB22" s="43"/>
      <c r="BC22" s="42"/>
      <c r="BD22" s="42"/>
      <c r="BE22" s="42"/>
      <c r="BF22" s="42"/>
      <c r="BG22" s="42"/>
      <c r="BH22" s="43"/>
      <c r="BI22" s="43"/>
      <c r="BJ22" s="47">
        <v>46</v>
      </c>
      <c r="BK22" s="42"/>
      <c r="BL22" s="42"/>
      <c r="BM22" s="42"/>
      <c r="BN22" s="42"/>
      <c r="BO22" s="43"/>
      <c r="BP22" s="17"/>
    </row>
    <row r="23" spans="1:68" s="29" customFormat="1" ht="15.75" customHeight="1">
      <c r="A23" s="111"/>
      <c r="B23" s="30" t="s">
        <v>294</v>
      </c>
      <c r="C23" s="30" t="s">
        <v>295</v>
      </c>
      <c r="D23" s="57">
        <f>SUM(D24)</f>
        <v>3</v>
      </c>
      <c r="E23" s="142" t="s">
        <v>299</v>
      </c>
      <c r="F23" s="142" t="s">
        <v>300</v>
      </c>
      <c r="G23" s="173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5"/>
      <c r="BJ23" s="167" t="s">
        <v>39</v>
      </c>
      <c r="BK23" s="168"/>
      <c r="BL23" s="169"/>
      <c r="BM23" s="170"/>
      <c r="BN23" s="171"/>
      <c r="BO23" s="172"/>
      <c r="BP23" s="28"/>
    </row>
    <row r="24" spans="1:68" ht="15.75" customHeight="1">
      <c r="A24" s="105" t="s">
        <v>296</v>
      </c>
      <c r="B24" s="21" t="s">
        <v>297</v>
      </c>
      <c r="C24" s="9" t="s">
        <v>298</v>
      </c>
      <c r="D24" s="7">
        <v>3</v>
      </c>
      <c r="E24" s="11" t="s">
        <v>299</v>
      </c>
      <c r="F24" s="11" t="s">
        <v>300</v>
      </c>
      <c r="G24" s="42"/>
      <c r="H24" s="42"/>
      <c r="I24" s="42"/>
      <c r="J24" s="42"/>
      <c r="K24" s="42"/>
      <c r="L24" s="43"/>
      <c r="M24" s="42"/>
      <c r="N24" s="42"/>
      <c r="O24" s="42"/>
      <c r="P24" s="42"/>
      <c r="Q24" s="42"/>
      <c r="R24" s="42"/>
      <c r="S24" s="43"/>
      <c r="T24" s="42"/>
      <c r="U24" s="42"/>
      <c r="V24" s="42"/>
      <c r="W24" s="42"/>
      <c r="X24" s="42"/>
      <c r="Y24" s="42"/>
      <c r="Z24" s="43"/>
      <c r="AA24" s="42"/>
      <c r="AB24" s="42"/>
      <c r="AC24" s="42"/>
      <c r="AD24" s="42"/>
      <c r="AE24" s="42"/>
      <c r="AF24" s="42"/>
      <c r="AG24" s="43"/>
      <c r="AH24" s="42"/>
      <c r="AI24" s="42"/>
      <c r="AJ24" s="42"/>
      <c r="AK24" s="42"/>
      <c r="AL24" s="42"/>
      <c r="AM24" s="42"/>
      <c r="AN24" s="43"/>
      <c r="AO24" s="42"/>
      <c r="AP24" s="42"/>
      <c r="AQ24" s="42"/>
      <c r="AR24" s="42"/>
      <c r="AS24" s="42"/>
      <c r="AT24" s="42"/>
      <c r="AU24" s="43"/>
      <c r="AV24" s="42"/>
      <c r="AW24" s="42"/>
      <c r="AX24" s="42"/>
      <c r="AY24" s="42"/>
      <c r="AZ24" s="42"/>
      <c r="BA24" s="42"/>
      <c r="BB24" s="43"/>
      <c r="BC24" s="42"/>
      <c r="BD24" s="42"/>
      <c r="BE24" s="42"/>
      <c r="BF24" s="42"/>
      <c r="BG24" s="42"/>
      <c r="BH24" s="42"/>
      <c r="BI24" s="43"/>
      <c r="BJ24" s="48">
        <v>46</v>
      </c>
      <c r="BK24" s="48">
        <v>47</v>
      </c>
      <c r="BL24" s="48">
        <v>48</v>
      </c>
      <c r="BM24" s="42"/>
      <c r="BN24" s="42"/>
      <c r="BO24" s="42"/>
      <c r="BP24" s="17"/>
    </row>
    <row r="25" spans="1:68" s="29" customFormat="1" ht="15.75" customHeight="1">
      <c r="A25" s="112"/>
      <c r="B25" s="27" t="s">
        <v>301</v>
      </c>
      <c r="C25" s="27" t="s">
        <v>302</v>
      </c>
      <c r="D25" s="58">
        <f>SUM(D26:D27)</f>
        <v>3</v>
      </c>
      <c r="E25" s="143" t="s">
        <v>306</v>
      </c>
      <c r="F25" s="143" t="s">
        <v>310</v>
      </c>
      <c r="G25" s="170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1"/>
      <c r="BK25" s="171"/>
      <c r="BL25" s="172"/>
      <c r="BM25" s="179" t="s">
        <v>42</v>
      </c>
      <c r="BN25" s="180"/>
      <c r="BO25" s="181"/>
      <c r="BP25" s="28"/>
    </row>
    <row r="26" spans="1:68" ht="15" customHeight="1">
      <c r="A26" s="105" t="s">
        <v>303</v>
      </c>
      <c r="B26" s="21" t="s">
        <v>304</v>
      </c>
      <c r="C26" s="6" t="s">
        <v>305</v>
      </c>
      <c r="D26" s="26">
        <v>1</v>
      </c>
      <c r="E26" s="11" t="s">
        <v>306</v>
      </c>
      <c r="F26" s="11" t="s">
        <v>306</v>
      </c>
      <c r="G26" s="34"/>
      <c r="H26" s="34"/>
      <c r="I26" s="34"/>
      <c r="J26" s="34"/>
      <c r="K26" s="35"/>
      <c r="L26" s="35"/>
      <c r="M26" s="34"/>
      <c r="N26" s="34"/>
      <c r="O26" s="34"/>
      <c r="P26" s="34"/>
      <c r="Q26" s="34"/>
      <c r="R26" s="35"/>
      <c r="S26" s="35"/>
      <c r="T26" s="34"/>
      <c r="U26" s="34"/>
      <c r="V26" s="34"/>
      <c r="W26" s="34"/>
      <c r="X26" s="34"/>
      <c r="Y26" s="35"/>
      <c r="Z26" s="35"/>
      <c r="AA26" s="34"/>
      <c r="AB26" s="34"/>
      <c r="AC26" s="34"/>
      <c r="AD26" s="34"/>
      <c r="AE26" s="34"/>
      <c r="AF26" s="35"/>
      <c r="AG26" s="35"/>
      <c r="AH26" s="34"/>
      <c r="AI26" s="34"/>
      <c r="AJ26" s="34"/>
      <c r="AK26" s="34"/>
      <c r="AL26" s="34"/>
      <c r="AM26" s="35"/>
      <c r="AN26" s="35"/>
      <c r="AO26" s="34"/>
      <c r="AP26" s="34"/>
      <c r="AQ26" s="34"/>
      <c r="AR26" s="34"/>
      <c r="AS26" s="34"/>
      <c r="AT26" s="35"/>
      <c r="AU26" s="35"/>
      <c r="AV26" s="34"/>
      <c r="AW26" s="34"/>
      <c r="AX26" s="34"/>
      <c r="AY26" s="34"/>
      <c r="AZ26" s="34"/>
      <c r="BA26" s="35"/>
      <c r="BB26" s="35"/>
      <c r="BC26" s="34"/>
      <c r="BD26" s="34"/>
      <c r="BE26" s="34"/>
      <c r="BF26" s="34"/>
      <c r="BG26" s="34"/>
      <c r="BH26" s="35"/>
      <c r="BI26" s="35"/>
      <c r="BJ26" s="34"/>
      <c r="BK26" s="34"/>
      <c r="BL26" s="34"/>
      <c r="BM26" s="49">
        <v>49</v>
      </c>
      <c r="BN26" s="34"/>
      <c r="BO26" s="35"/>
      <c r="BP26" s="16"/>
    </row>
    <row r="27" spans="1:68" ht="15.75" customHeight="1">
      <c r="A27" s="105" t="s">
        <v>307</v>
      </c>
      <c r="B27" s="21" t="s">
        <v>308</v>
      </c>
      <c r="C27" s="6" t="s">
        <v>309</v>
      </c>
      <c r="D27" s="7">
        <v>2</v>
      </c>
      <c r="E27" s="11" t="s">
        <v>310</v>
      </c>
      <c r="F27" s="11">
        <v>46326</v>
      </c>
      <c r="G27" s="42"/>
      <c r="H27" s="42"/>
      <c r="I27" s="42"/>
      <c r="J27" s="42"/>
      <c r="K27" s="42"/>
      <c r="L27" s="43"/>
      <c r="M27" s="42"/>
      <c r="N27" s="42"/>
      <c r="O27" s="42"/>
      <c r="P27" s="42"/>
      <c r="Q27" s="42"/>
      <c r="R27" s="42"/>
      <c r="S27" s="43"/>
      <c r="T27" s="42"/>
      <c r="U27" s="42"/>
      <c r="V27" s="42"/>
      <c r="W27" s="42"/>
      <c r="X27" s="42"/>
      <c r="Y27" s="42"/>
      <c r="Z27" s="43"/>
      <c r="AA27" s="42"/>
      <c r="AB27" s="42"/>
      <c r="AC27" s="42"/>
      <c r="AD27" s="42"/>
      <c r="AE27" s="42"/>
      <c r="AF27" s="42"/>
      <c r="AG27" s="43"/>
      <c r="AH27" s="42"/>
      <c r="AI27" s="42"/>
      <c r="AJ27" s="42"/>
      <c r="AK27" s="42"/>
      <c r="AL27" s="42"/>
      <c r="AM27" s="42"/>
      <c r="AN27" s="43"/>
      <c r="AO27" s="42"/>
      <c r="AP27" s="42"/>
      <c r="AQ27" s="42"/>
      <c r="AR27" s="42"/>
      <c r="AS27" s="42"/>
      <c r="AT27" s="42"/>
      <c r="AU27" s="43"/>
      <c r="AV27" s="42"/>
      <c r="AW27" s="42"/>
      <c r="AX27" s="42"/>
      <c r="AY27" s="42"/>
      <c r="AZ27" s="42"/>
      <c r="BA27" s="42"/>
      <c r="BB27" s="43"/>
      <c r="BC27" s="42"/>
      <c r="BD27" s="42"/>
      <c r="BE27" s="42"/>
      <c r="BF27" s="42"/>
      <c r="BG27" s="42"/>
      <c r="BH27" s="42"/>
      <c r="BI27" s="43"/>
      <c r="BJ27" s="42"/>
      <c r="BK27" s="42"/>
      <c r="BL27" s="42"/>
      <c r="BM27" s="42"/>
      <c r="BN27" s="50">
        <v>50</v>
      </c>
      <c r="BO27" s="50">
        <v>51</v>
      </c>
      <c r="BP27" s="17"/>
    </row>
    <row r="28" spans="1:68" ht="15" customHeight="1" thickBot="1">
      <c r="A28" s="61"/>
      <c r="B28" s="62" t="s">
        <v>311</v>
      </c>
      <c r="C28" s="62"/>
      <c r="D28" s="63"/>
      <c r="E28" s="62"/>
      <c r="F28" s="62"/>
      <c r="G28" s="64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</row>
    <row r="29" spans="1:68" ht="15.75" customHeight="1"/>
    <row r="30" spans="1:68" ht="15.75" customHeight="1">
      <c r="A30" s="185" t="s">
        <v>318</v>
      </c>
      <c r="B30" s="185"/>
      <c r="C30" s="185"/>
    </row>
    <row r="31" spans="1:68" ht="15.75" customHeight="1">
      <c r="A31" s="92" t="s">
        <v>326</v>
      </c>
      <c r="B31" s="59" t="s">
        <v>325</v>
      </c>
      <c r="C31" s="59"/>
    </row>
    <row r="32" spans="1:68" ht="15.75" customHeight="1">
      <c r="A32" s="92" t="s">
        <v>335</v>
      </c>
      <c r="B32" s="59" t="s">
        <v>329</v>
      </c>
      <c r="C32" s="59"/>
    </row>
    <row r="33" spans="1:68" ht="15.75" customHeight="1">
      <c r="A33" s="92" t="s">
        <v>312</v>
      </c>
      <c r="B33" s="59">
        <v>74</v>
      </c>
      <c r="C33" s="92" t="s">
        <v>234</v>
      </c>
    </row>
    <row r="34" spans="1:68" ht="15.75" customHeight="1">
      <c r="A34" s="12" t="s">
        <v>316</v>
      </c>
      <c r="B34" s="59">
        <v>51</v>
      </c>
      <c r="C34" s="92" t="s">
        <v>234</v>
      </c>
    </row>
    <row r="35" spans="1:68" ht="15" customHeight="1">
      <c r="A35" s="12" t="s">
        <v>317</v>
      </c>
      <c r="B35" s="144" t="s">
        <v>241</v>
      </c>
      <c r="C35" s="103"/>
    </row>
    <row r="36" spans="1:68" ht="15" customHeight="1">
      <c r="A36" s="12" t="s">
        <v>319</v>
      </c>
      <c r="B36" s="144">
        <v>46326</v>
      </c>
      <c r="C36" s="93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</row>
    <row r="37" spans="1:68" ht="15" customHeight="1"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</row>
    <row r="38" spans="1:68" ht="15" customHeight="1"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</row>
    <row r="39" spans="1:68" ht="15" customHeight="1"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</row>
    <row r="40" spans="1:68" ht="15" customHeight="1">
      <c r="A40" s="148" t="s">
        <v>321</v>
      </c>
      <c r="B40" s="148"/>
      <c r="C40" s="14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</row>
    <row r="41" spans="1:68" ht="15" customHeight="1">
      <c r="A41" s="33" t="s">
        <v>322</v>
      </c>
      <c r="B41" s="114" t="s">
        <v>320</v>
      </c>
      <c r="C41" s="63" t="s">
        <v>234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</row>
    <row r="42" spans="1:68" ht="15.75" customHeight="1">
      <c r="A42" s="104">
        <v>1</v>
      </c>
      <c r="B42" s="10" t="s">
        <v>8</v>
      </c>
      <c r="C42" s="104">
        <f>D6</f>
        <v>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</row>
    <row r="43" spans="1:68" ht="15" customHeight="1">
      <c r="A43" s="116">
        <v>2</v>
      </c>
      <c r="B43" s="115" t="s">
        <v>16</v>
      </c>
      <c r="C43" s="116">
        <f>D9</f>
        <v>5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</row>
    <row r="44" spans="1:68">
      <c r="A44" s="118">
        <v>3</v>
      </c>
      <c r="B44" s="117" t="s">
        <v>19</v>
      </c>
      <c r="C44" s="118">
        <f>D11</f>
        <v>5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</row>
    <row r="45" spans="1:68">
      <c r="A45" s="120">
        <v>4</v>
      </c>
      <c r="B45" s="119" t="s">
        <v>22</v>
      </c>
      <c r="C45" s="120">
        <f>D13</f>
        <v>3</v>
      </c>
      <c r="D45" s="5"/>
      <c r="E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</row>
    <row r="46" spans="1:68" ht="15" customHeight="1">
      <c r="A46" s="122">
        <v>5</v>
      </c>
      <c r="B46" s="121" t="s">
        <v>25</v>
      </c>
      <c r="C46" s="122">
        <f>D15</f>
        <v>48</v>
      </c>
    </row>
    <row r="47" spans="1:68">
      <c r="A47" s="124">
        <v>6</v>
      </c>
      <c r="B47" s="123" t="s">
        <v>36</v>
      </c>
      <c r="C47" s="124">
        <f>D20</f>
        <v>2</v>
      </c>
    </row>
    <row r="48" spans="1:68">
      <c r="A48" s="126">
        <v>7</v>
      </c>
      <c r="B48" s="125" t="s">
        <v>39</v>
      </c>
      <c r="C48" s="126">
        <f>D23</f>
        <v>3</v>
      </c>
    </row>
    <row r="49" spans="1:3">
      <c r="A49" s="128">
        <v>8</v>
      </c>
      <c r="B49" s="127" t="s">
        <v>42</v>
      </c>
      <c r="C49" s="128">
        <f>D25</f>
        <v>3</v>
      </c>
    </row>
  </sheetData>
  <mergeCells count="27">
    <mergeCell ref="G11:S11"/>
    <mergeCell ref="G9:L9"/>
    <mergeCell ref="R9:BO9"/>
    <mergeCell ref="K6:BO6"/>
    <mergeCell ref="A30:C30"/>
    <mergeCell ref="AK3:BO3"/>
    <mergeCell ref="BM25:BO25"/>
    <mergeCell ref="BM23:BO23"/>
    <mergeCell ref="AD13:BO13"/>
    <mergeCell ref="BI15:BO15"/>
    <mergeCell ref="Y11:BO11"/>
    <mergeCell ref="A1:B1"/>
    <mergeCell ref="A40:C40"/>
    <mergeCell ref="AD15:BH15"/>
    <mergeCell ref="G6:J6"/>
    <mergeCell ref="M9:Q9"/>
    <mergeCell ref="T11:X11"/>
    <mergeCell ref="AA13:AC13"/>
    <mergeCell ref="BH20:BJ20"/>
    <mergeCell ref="BJ23:BL23"/>
    <mergeCell ref="G25:BL25"/>
    <mergeCell ref="G23:BI23"/>
    <mergeCell ref="BK20:BO20"/>
    <mergeCell ref="G20:BG20"/>
    <mergeCell ref="G15:AC15"/>
    <mergeCell ref="G13:Z13"/>
    <mergeCell ref="G3:AJ3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Stage-Designation Master</vt:lpstr>
      <vt:lpstr>Employee Master (Sample)</vt:lpstr>
      <vt:lpstr>Project Master (Sample)</vt:lpstr>
      <vt:lpstr>Calendar Rules</vt:lpstr>
      <vt:lpstr>Expected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Vishaal</cp:lastModifiedBy>
  <cp:revision>0</cp:revision>
  <dcterms:created xsi:type="dcterms:W3CDTF">2026-08-14T06:59:00Z</dcterms:created>
  <dcterms:modified xsi:type="dcterms:W3CDTF">2026-09-10T08:52:45Z</dcterms:modified>
  <dc:language>en-US</dc:language>
</cp:coreProperties>
</file>